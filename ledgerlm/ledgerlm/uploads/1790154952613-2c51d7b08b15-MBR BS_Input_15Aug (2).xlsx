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tasmadigitaltech-my.sharepoint.com/personal/gajendramohan_matasma_com/Documents/00 Matasma/0 Matasma Digital/13 Product Development/LedgerLM/02 Board Feature/01 Balance Sheet Board/"/>
    </mc:Choice>
  </mc:AlternateContent>
  <xr:revisionPtr revIDLastSave="7" documentId="13_ncr:1_{C45DF8E0-9C3B-413A-BD92-61EC6BEB6C5D}" xr6:coauthVersionLast="47" xr6:coauthVersionMax="47" xr10:uidLastSave="{45424DBE-B18E-4747-A253-251DD541EFFB}"/>
  <bookViews>
    <workbookView xWindow="0" yWindow="660" windowWidth="34560" windowHeight="19620" tabRatio="898" xr2:uid="{FAA9F01E-BB4B-4EF3-BDF2-1E6A915DFAEF}"/>
  </bookViews>
  <sheets>
    <sheet name="BS-Liabilities" sheetId="6" r:id="rId1"/>
    <sheet name="BS-Assets" sheetId="4" r:id="rId2"/>
    <sheet name="Sheet2" sheetId="12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xlnm._FilterDatabase" localSheetId="1" hidden="1">'BS-Assets'!$A$1:$K$128</definedName>
    <definedName name="_xlnm._FilterDatabase" localSheetId="0" hidden="1">'BS-Liabilities'!$A$1:$K$164</definedName>
    <definedName name="a">'[1]A-Std_Cost'!#REF!</definedName>
    <definedName name="aaa">'[1]A-Std_Cost'!#REF!</definedName>
    <definedName name="aaaa">'[1]A-Std_Cost'!#REF!</definedName>
    <definedName name="abcd">#REF!</definedName>
    <definedName name="abcdefg">#REF!</definedName>
    <definedName name="Anzahl_B_c">[2]gesamt!#REF!</definedName>
    <definedName name="Anzahl_B_c_d">[2]gesamt!#REF!</definedName>
    <definedName name="Anzahl_B_f">[2]gesamt!#REF!</definedName>
    <definedName name="Anzahl_B_f_d">[2]gesamt!#REF!</definedName>
    <definedName name="Anzahl_K">[2]gesamt!#REF!</definedName>
    <definedName name="Anzahl_K_d">[2]gesamt!#REF!</definedName>
    <definedName name="Anzahl_N">[2]gesamt!#REF!</definedName>
    <definedName name="Anzahl_N_d">[2]gesamt!#REF!</definedName>
    <definedName name="Anzahl_Q">[2]gesamt!#REF!</definedName>
    <definedName name="b">'[1]A-Std_Cost'!#REF!</definedName>
    <definedName name="Clear_VJ_GuV1">[3]GuV_Income_Statement!$F$85:$F$87,[3]GuV_Income_Statement!$F$77:$F$78</definedName>
    <definedName name="Clear_VJ_Ist_02">'[4]Bilanz_Balance_Sheet-CF05'!$G$24,'[4]Bilanz_Balance_Sheet-CF05'!$G$26,'[4]Bilanz_Balance_Sheet-CF05'!$G$30:$G$31,'[4]Bilanz_Balance_Sheet-CF05'!$G$35:$G$42,'[4]Bilanz_Balance_Sheet-CF05'!$G$44:$G$45,'[4]Bilanz_Balance_Sheet-CF05'!$G$47,'[4]Bilanz_Balance_Sheet-CF05'!$G$49</definedName>
    <definedName name="Clear_VJ_Ist_03">'[4]Bilanz_Balance_Sheet-CF05'!$R$24:$R$26,'[4]Bilanz_Balance_Sheet-CF05'!$R$29:$R$31,'[4]Bilanz_Balance_Sheet-CF05'!$R$33:$R$39,'[4]Bilanz_Balance_Sheet-CF05'!$R$41:$R$41,'[4]Bilanz_Balance_Sheet-CF05'!$R$43:$R$48,'[4]Bilanz_Balance_Sheet-CF05'!$R$51:$R$54,'[4]Bilanz_Balance_Sheet-CF05'!$R$57:$R$61</definedName>
    <definedName name="Clear_VJ_Ist_05a">[5]Bilanz_GuV_1!$C$1</definedName>
    <definedName name="Clear_VJ_IST_AV1">[5]Anlagespiegel_F_Assets!$F$29:$F$30,[5]Anlagespiegel_F_Assets!$F$32,[5]Anlagespiegel_F_Assets!$F$34:$F$35,[5]Anlagespiegel_F_Assets!$F$39,[5]Anlagespiegel_F_Assets!$F$42:$F$43,[5]Anlagespiegel_F_Assets!$F$45,[5]Anlagespiegel_F_Assets!$F$47:$F$48,[5]Anlagespiegel_F_Assets!$F$52,[5]Anlagespiegel_F_Assets!$F$55:$F$56,[5]Anlagespiegel_F_Assets!$F$59:$F$61,[5]Anlagespiegel_F_Assets!$F$63,[5]Anlagespiegel_F_Assets!$F$68,[5]Anlagespiegel_F_Assets!$F$71:$F$72,[5]Anlagespiegel_F_Assets!$F$74,[5]Anlagespiegel_F_Assets!$F$76,[5]Anlagespiegel_F_Assets!$F$81,[5]Anlagespiegel_F_Assets!$F$84:$F$85,[5]Anlagespiegel_F_Assets!$F$87,[5]Anlagespiegel_F_Assets!$F$89,[5]Anlagespiegel_F_Assets!$F$94,[5]Anlagespiegel_F_Assets!$F$97:$F$98,[5]Anlagespiegel_F_Assets!$F$100,[5]Anlagespiegel_F_Assets!$F$102,[5]Anlagespiegel_F_Assets!$F$107,[5]Anlagespiegel_F_Assets!$F$110:$F$111,[5]Anlagespiegel_F_Assets!$F$113,[5]Anlagespiegel_F_Assets!$F$115,[5]Anlagespiegel_F_Assets!$F$120,[5]Anlagespiegel_F_Assets!$F$63:$F$64,[5]Anlagespiegel_F_Assets!$F$76:$F$77</definedName>
    <definedName name="Clear_VJ_Ist_AV2">[3]Anlagespiegel_F_Assets!$E$37,[3]Anlagespiegel_F_Assets!$E$50,[3]Anlagespiegel_F_Assets!$E$66,[3]Anlagespiegel_F_Assets!$E$79,[3]Anlagespiegel_F_Assets!$E$92,[3]Anlagespiegel_F_Assets!$E$105,[3]Anlagespiegel_F_Assets!$E$118</definedName>
    <definedName name="Clear_VJ_Ist_AV3">[3]Anlagespiegel_F_Assets!$E$90,[3]Anlagespiegel_F_Assets!$E$103,[3]Anlagespiegel_F_Assets!$E$116</definedName>
    <definedName name="Clear_VJ_IST_GuV1">[5]GuV_Income_Statement!$F$23:$F$25,[5]GuV_Income_Statement!$F$27,[5]GuV_Income_Statement!$F$30:$F$36,[5]GuV_Income_Statement!$F$41:$F$50,[5]GuV_Income_Statement!$F$56:$F$58,[5]GuV_Income_Statement!$F$61:$F$63,[5]GuV_Income_Statement!$F$65,[5]GuV_Income_Statement!$F$69:$F$76,[5]GuV_Income_Statement!$F$78:$F$79,[5]GuV_Income_Statement!$F$86:$F$88,[5]GuV_Income_Statement!$F$30:$F$38</definedName>
    <definedName name="Clear_VJ_Plan_02">'[4]Bilanz_Balance_Sheet-CF05'!$H$24,'[4]Bilanz_Balance_Sheet-CF05'!$H$26,'[4]Bilanz_Balance_Sheet-CF05'!$H$30:$H$31,'[4]Bilanz_Balance_Sheet-CF05'!$H$35:$H$42,'[4]Bilanz_Balance_Sheet-CF05'!$H$44:$H$45,'[4]Bilanz_Balance_Sheet-CF05'!$H$47,'[4]Bilanz_Balance_Sheet-CF05'!$H$49</definedName>
    <definedName name="Clear_VJ_Plan_03">'[4]Bilanz_Balance_Sheet-CF05'!$S$24:$S$26,'[4]Bilanz_Balance_Sheet-CF05'!$S$29:$S$31,'[4]Bilanz_Balance_Sheet-CF05'!$S$33:$S$39,'[4]Bilanz_Balance_Sheet-CF05'!$S$41:$S$41,'[4]Bilanz_Balance_Sheet-CF05'!$S$43:$S$48,'[4]Bilanz_Balance_Sheet-CF05'!$S$51:$S$54,'[4]Bilanz_Balance_Sheet-CF05'!$S$57:$S$61</definedName>
    <definedName name="Clear_VJ_PLAN_AV1">[5]Anlagespiegel_F_Assets!$G$29:$G$30,[5]Anlagespiegel_F_Assets!$G$32,[5]Anlagespiegel_F_Assets!$G$34:$G$35,[5]Anlagespiegel_F_Assets!$G$39,[5]Anlagespiegel_F_Assets!$G$42:$G$43,[5]Anlagespiegel_F_Assets!$G$45,[5]Anlagespiegel_F_Assets!$G$47:$G$48,[5]Anlagespiegel_F_Assets!$G$52,[5]Anlagespiegel_F_Assets!$G$55:$G$56,[5]Anlagespiegel_F_Assets!$G$59:$G$61,[5]Anlagespiegel_F_Assets!$G$63,[5]Anlagespiegel_F_Assets!$G$68,[5]Anlagespiegel_F_Assets!$G$71:$G$72,[5]Anlagespiegel_F_Assets!$G$74,[5]Anlagespiegel_F_Assets!$G$76,[5]Anlagespiegel_F_Assets!$G$81,[5]Anlagespiegel_F_Assets!$G$84:$G$85,[5]Anlagespiegel_F_Assets!$G$87,[5]Anlagespiegel_F_Assets!$G$89,[5]Anlagespiegel_F_Assets!$G$94,[5]Anlagespiegel_F_Assets!$G$97:$G$98,[5]Anlagespiegel_F_Assets!$G$100,[5]Anlagespiegel_F_Assets!$G$102,[5]Anlagespiegel_F_Assets!$G$107,[5]Anlagespiegel_F_Assets!$G$110:$G$111,[5]Anlagespiegel_F_Assets!$G$113,[5]Anlagespiegel_F_Assets!$G$115,[5]Anlagespiegel_F_Assets!$G$120,[5]Anlagespiegel_F_Assets!$G$63:$G$64,[5]Anlagespiegel_F_Assets!$G$76:$G$77</definedName>
    <definedName name="Clear_VJ_Plan_AV2">[3]Anlagespiegel_F_Assets!$F$37,[3]Anlagespiegel_F_Assets!$F$50,[3]Anlagespiegel_F_Assets!$F$66,[3]Anlagespiegel_F_Assets!$F$79,[3]Anlagespiegel_F_Assets!$F$92,[3]Anlagespiegel_F_Assets!$F$105,[3]Anlagespiegel_F_Assets!$F$118</definedName>
    <definedName name="Clear_VJ_Plan_AV3">[3]Anlagespiegel_F_Assets!$F$116,[3]Anlagespiegel_F_Assets!$F$103,[3]Anlagespiegel_F_Assets!$F$90</definedName>
    <definedName name="Clear_VJ_Plan_GuV_1">[3]GuV_Income_Statement!$G$23:$G$25,[3]GuV_Income_Statement!$G$27:$G$28,[3]GuV_Income_Statement!$G$30:$G$37,[3]GuV_Income_Statement!$G$40:$G$50,[3]GuV_Income_Statement!$G$55:$G$57,[3]GuV_Income_Statement!$G$60:$G$62,[3]GuV_Income_Statement!$G$64,[3]GuV_Income_Statement!$G$68:$G$75,[3]GuV_Income_Statement!$G$81,[3]GuV_Income_Statement!$G$85:$G$86,[3]GuV_Income_Statement!$G$77:$G$78</definedName>
    <definedName name="Clear_VJ_Plan_GuV1">[5]GuV_Income_Statement!$G$86:$G$87,[5]GuV_Income_Statement!$G$82,[5]GuV_Income_Statement!$G$78:$G$79,[5]GuV_Income_Statement!$G$69:$G$76,[5]GuV_Income_Statement!$G$65,[5]GuV_Income_Statement!$G$61:$G$63,[5]GuV_Income_Statement!$G$56:$G$58,[5]GuV_Income_Statement!$G$41:$G$50,[5]GuV_Income_Statement!$G$30:$G$36,[5]GuV_Income_Statement!$G$27,[5]GuV_Income_Statement!$G$23:$G$25,[5]GuV_Income_Statement!$G$30:$G$38</definedName>
    <definedName name="closing_balance">#REF!</definedName>
    <definedName name="Customer_location">'[6]B-Master_Data'!$U$74:$U$81</definedName>
    <definedName name="CustomerDivisions">'[1]B-Master_Data'!$U$74:$U$103</definedName>
    <definedName name="CustomerName">'[1]B-Master_Data'!$X$106:$X$132</definedName>
    <definedName name="d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7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e">#REF!</definedName>
    <definedName name="f">#REF!</definedName>
    <definedName name="Finance_Dat_Anl">[5]Anlagespiegel_F_Assets!$F$48:$G$48,[5]Anlagespiegel_F_Assets!$F$64:$G$64,[5]Anlagespiegel_F_Assets!$F$77:$G$77,[5]Anlagespiegel_F_Assets!$F$90:$G$90,[5]Anlagespiegel_F_Assets!$F$103:$G$103,[5]Anlagespiegel_F_Assets!$F$116:$G$116,[5]Anlagespiegel_F_Assets!$F$35:$G$35</definedName>
    <definedName name="Finance_Dat_Bil">'[4]Bilanz_Balance_Sheet-CF05'!$G$36:$H$36,'[4]Bilanz_Balance_Sheet-CF05'!$G$38:$H$38,'[4]Bilanz_Balance_Sheet-CF05'!$G$40:$H$40,'[4]Bilanz_Balance_Sheet-CF05'!$R$34:$S$34,'[4]Bilanz_Balance_Sheet-CF05'!$R$36:$S$36,'[4]Bilanz_Balance_Sheet-CF05'!$R$38:$S$38</definedName>
    <definedName name="Finance_Dat_GuV">[5]GuV_Income_Statement!$F$25:$G$25,[5]GuV_Income_Statement!$F$43:$G$43,[5]GuV_Income_Statement!$F$46:$G$46,[5]GuV_Income_Statement!$F$49:$G$49,[5]GuV_Income_Statement!$F$58:$G$58</definedName>
    <definedName name="g">#REF!</definedName>
    <definedName name="h">#REF!</definedName>
    <definedName name="i">#REF!</definedName>
    <definedName name="j">#REF!</definedName>
    <definedName name="Jul">#REF!</definedName>
    <definedName name="k">#REF!</definedName>
    <definedName name="l">#REF!</definedName>
    <definedName name="last_cell_1">#REF!</definedName>
    <definedName name="LineOfService">'[1]B-Master_Data'!$C$7:$C$40</definedName>
    <definedName name="LineOfServicePYO">'[7]12-MD-2'!#REF!</definedName>
    <definedName name="Location">'[1]B-Master_Data'!$O$41:$O$59</definedName>
    <definedName name="LocModel">'[1]B-Master_Data'!$H$31:$H$32</definedName>
    <definedName name="new">#REF!</definedName>
    <definedName name="q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K_Umbau_Anl">[5]Anlagespiegel_F_Assets!$H$48:$I$48,[5]Anlagespiegel_F_Assets!$H$64:$I$64,[5]Anlagespiegel_F_Assets!$H$77:$I$77,[5]Anlagespiegel_F_Assets!$H$90:$I$90,[5]Anlagespiegel_F_Assets!$H$103:$I$103,[5]Anlagespiegel_F_Assets!$H$116:$I$116</definedName>
    <definedName name="TK_Umbau_Bil">'[4]Bilanz_Balance_Sheet-CF05'!$I$36:$J$36,'[4]Bilanz_Balance_Sheet-CF05'!$I$38:$J$38,'[4]Bilanz_Balance_Sheet-CF05'!$I$40:$J$40,'[4]Bilanz_Balance_Sheet-CF05'!$T$34:$U$34,'[4]Bilanz_Balance_Sheet-CF05'!$T$36:$U$36,'[4]Bilanz_Balance_Sheet-CF05'!$T$38:$U$38</definedName>
    <definedName name="TK_Umbau_GuV">[5]GuV_Income_Statement!$H$25:$I$25,[5]GuV_Income_Statement!$H$43:$I$43,[5]GuV_Income_Statement!$H$46:$I$46,[5]GuV_Income_Statement!$H$49:$I$49,[5]GuV_Income_Statement!$H$58:$I$58</definedName>
    <definedName name="Travelvisa">'[8]B-Master_Data'!$AB$135:$AB$137</definedName>
    <definedName name="v">'[1]A-Std_Cost'!#REF!</definedName>
    <definedName name="VKM_Cell">#REF!</definedName>
    <definedName name="z">#REF!</definedName>
    <definedName name="Z_950BACC2_FD34_11D2_AF77_009027356700_.wvu.Cols" hidden="1">#REF!</definedName>
    <definedName name="Z_950BACC2_FD34_11D2_AF77_009027356700_.wvu.PrintArea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1" i="6" l="1"/>
  <c r="H108" i="6"/>
  <c r="H105" i="6"/>
  <c r="H102" i="6"/>
  <c r="H79" i="6"/>
  <c r="H58" i="6"/>
  <c r="H31" i="6"/>
  <c r="H10" i="6"/>
  <c r="H114" i="4"/>
  <c r="H111" i="4"/>
  <c r="H87" i="4"/>
  <c r="H76" i="4"/>
  <c r="H27" i="4"/>
  <c r="H16" i="4"/>
  <c r="F163" i="6"/>
  <c r="H163" i="6" s="1"/>
  <c r="F156" i="6"/>
  <c r="H156" i="6" s="1"/>
  <c r="F162" i="6"/>
  <c r="H162" i="6" s="1"/>
  <c r="F161" i="6"/>
  <c r="H161" i="6" s="1"/>
  <c r="F160" i="6"/>
  <c r="H160" i="6" s="1"/>
  <c r="F159" i="6"/>
  <c r="H159" i="6" s="1"/>
  <c r="F158" i="6"/>
  <c r="H158" i="6" s="1"/>
  <c r="F157" i="6"/>
  <c r="H157" i="6" s="1"/>
  <c r="F155" i="6"/>
  <c r="H155" i="6" s="1"/>
  <c r="F154" i="6"/>
  <c r="H154" i="6" s="1"/>
  <c r="F153" i="6"/>
  <c r="H153" i="6" s="1"/>
  <c r="F152" i="6"/>
  <c r="H152" i="6" s="1"/>
  <c r="F151" i="6"/>
  <c r="H151" i="6" s="1"/>
  <c r="F150" i="6"/>
  <c r="H150" i="6" s="1"/>
  <c r="F149" i="6"/>
  <c r="H149" i="6" s="1"/>
  <c r="F148" i="6"/>
  <c r="H148" i="6" s="1"/>
  <c r="F147" i="6"/>
  <c r="H147" i="6" s="1"/>
  <c r="F146" i="6"/>
  <c r="H146" i="6" s="1"/>
  <c r="F145" i="6"/>
  <c r="H145" i="6" s="1"/>
  <c r="F144" i="6"/>
  <c r="H144" i="6" s="1"/>
  <c r="F143" i="6"/>
  <c r="H143" i="6" s="1"/>
  <c r="F142" i="6"/>
  <c r="H142" i="6" s="1"/>
  <c r="F141" i="6"/>
  <c r="F140" i="6"/>
  <c r="H140" i="6" s="1"/>
  <c r="F139" i="6"/>
  <c r="H139" i="6" s="1"/>
  <c r="F138" i="6"/>
  <c r="H138" i="6" s="1"/>
  <c r="F137" i="6"/>
  <c r="H137" i="6" s="1"/>
  <c r="F136" i="6"/>
  <c r="H136" i="6" s="1"/>
  <c r="F135" i="6"/>
  <c r="H135" i="6" s="1"/>
  <c r="F134" i="6"/>
  <c r="H134" i="6" s="1"/>
  <c r="F133" i="6"/>
  <c r="H133" i="6" s="1"/>
  <c r="F132" i="6"/>
  <c r="H132" i="6" s="1"/>
  <c r="F131" i="6"/>
  <c r="H131" i="6" s="1"/>
  <c r="F130" i="6"/>
  <c r="H130" i="6" s="1"/>
  <c r="F129" i="6"/>
  <c r="H129" i="6" s="1"/>
  <c r="F128" i="6"/>
  <c r="H128" i="6" s="1"/>
  <c r="F127" i="6"/>
  <c r="H127" i="6" s="1"/>
  <c r="F126" i="6"/>
  <c r="H126" i="6" s="1"/>
  <c r="F125" i="6"/>
  <c r="H125" i="6" s="1"/>
  <c r="F124" i="6"/>
  <c r="H124" i="6" s="1"/>
  <c r="F123" i="6"/>
  <c r="H123" i="6" s="1"/>
  <c r="F122" i="6"/>
  <c r="H122" i="6" s="1"/>
  <c r="F121" i="6"/>
  <c r="H121" i="6" s="1"/>
  <c r="F120" i="6"/>
  <c r="H120" i="6" s="1"/>
  <c r="F119" i="6"/>
  <c r="H119" i="6" s="1"/>
  <c r="F118" i="6"/>
  <c r="H118" i="6" s="1"/>
  <c r="F117" i="6"/>
  <c r="H117" i="6" s="1"/>
  <c r="F116" i="6"/>
  <c r="H116" i="6" s="1"/>
  <c r="F115" i="6"/>
  <c r="H115" i="6" s="1"/>
  <c r="F114" i="6"/>
  <c r="H114" i="6" s="1"/>
  <c r="F113" i="6"/>
  <c r="H113" i="6" s="1"/>
  <c r="F112" i="6"/>
  <c r="H112" i="6" s="1"/>
  <c r="F111" i="6"/>
  <c r="H111" i="6" s="1"/>
  <c r="F110" i="6"/>
  <c r="H110" i="6" s="1"/>
  <c r="F109" i="6"/>
  <c r="H109" i="6" s="1"/>
  <c r="F108" i="6"/>
  <c r="F107" i="6"/>
  <c r="H107" i="6" s="1"/>
  <c r="F106" i="6"/>
  <c r="H106" i="6" s="1"/>
  <c r="F105" i="6"/>
  <c r="F104" i="6"/>
  <c r="H104" i="6" s="1"/>
  <c r="F103" i="6"/>
  <c r="H103" i="6" s="1"/>
  <c r="F101" i="6"/>
  <c r="H101" i="6" s="1"/>
  <c r="F100" i="6"/>
  <c r="H100" i="6" s="1"/>
  <c r="F99" i="6"/>
  <c r="H99" i="6" s="1"/>
  <c r="F98" i="6"/>
  <c r="H98" i="6" s="1"/>
  <c r="F97" i="6"/>
  <c r="H97" i="6" s="1"/>
  <c r="F96" i="6"/>
  <c r="H96" i="6" s="1"/>
  <c r="F95" i="6"/>
  <c r="H95" i="6" s="1"/>
  <c r="F94" i="6"/>
  <c r="H94" i="6" s="1"/>
  <c r="F93" i="6"/>
  <c r="H93" i="6" s="1"/>
  <c r="F92" i="6"/>
  <c r="H92" i="6" s="1"/>
  <c r="F91" i="6"/>
  <c r="H91" i="6" s="1"/>
  <c r="F90" i="6"/>
  <c r="H90" i="6" s="1"/>
  <c r="F89" i="6"/>
  <c r="H89" i="6" s="1"/>
  <c r="F88" i="6"/>
  <c r="H88" i="6" s="1"/>
  <c r="F87" i="6"/>
  <c r="H87" i="6" s="1"/>
  <c r="F86" i="6"/>
  <c r="H86" i="6" s="1"/>
  <c r="F85" i="6"/>
  <c r="H85" i="6" s="1"/>
  <c r="F84" i="6"/>
  <c r="H84" i="6" s="1"/>
  <c r="F83" i="6"/>
  <c r="H83" i="6" s="1"/>
  <c r="F82" i="6"/>
  <c r="H82" i="6" s="1"/>
  <c r="F81" i="6"/>
  <c r="H81" i="6" s="1"/>
  <c r="F80" i="6"/>
  <c r="H80" i="6" s="1"/>
  <c r="F79" i="6"/>
  <c r="F78" i="6"/>
  <c r="H78" i="6" s="1"/>
  <c r="F77" i="6"/>
  <c r="H77" i="6" s="1"/>
  <c r="F76" i="6"/>
  <c r="H76" i="6" s="1"/>
  <c r="F75" i="6"/>
  <c r="H75" i="6" s="1"/>
  <c r="F74" i="6"/>
  <c r="H74" i="6" s="1"/>
  <c r="F73" i="6"/>
  <c r="H73" i="6" s="1"/>
  <c r="F72" i="6"/>
  <c r="H72" i="6" s="1"/>
  <c r="F71" i="6"/>
  <c r="H71" i="6" s="1"/>
  <c r="F70" i="6"/>
  <c r="H70" i="6" s="1"/>
  <c r="F69" i="6"/>
  <c r="H69" i="6" s="1"/>
  <c r="F68" i="6"/>
  <c r="H68" i="6" s="1"/>
  <c r="F67" i="6"/>
  <c r="H67" i="6" s="1"/>
  <c r="F66" i="6"/>
  <c r="H66" i="6" s="1"/>
  <c r="F65" i="6"/>
  <c r="H65" i="6" s="1"/>
  <c r="F64" i="6"/>
  <c r="H64" i="6" s="1"/>
  <c r="F63" i="6"/>
  <c r="H63" i="6" s="1"/>
  <c r="F62" i="6"/>
  <c r="H62" i="6" s="1"/>
  <c r="F61" i="6"/>
  <c r="H61" i="6" s="1"/>
  <c r="F60" i="6"/>
  <c r="H60" i="6" s="1"/>
  <c r="F59" i="6"/>
  <c r="H59" i="6" s="1"/>
  <c r="F58" i="6"/>
  <c r="F57" i="6"/>
  <c r="H57" i="6" s="1"/>
  <c r="F56" i="6"/>
  <c r="H56" i="6" s="1"/>
  <c r="F55" i="6"/>
  <c r="H55" i="6" s="1"/>
  <c r="F54" i="6"/>
  <c r="H54" i="6" s="1"/>
  <c r="F53" i="6"/>
  <c r="H53" i="6" s="1"/>
  <c r="F52" i="6"/>
  <c r="H52" i="6" s="1"/>
  <c r="F51" i="6"/>
  <c r="H51" i="6" s="1"/>
  <c r="F50" i="6"/>
  <c r="H50" i="6" s="1"/>
  <c r="F49" i="6"/>
  <c r="H49" i="6" s="1"/>
  <c r="F48" i="6"/>
  <c r="H48" i="6" s="1"/>
  <c r="F47" i="6"/>
  <c r="H47" i="6" s="1"/>
  <c r="F46" i="6"/>
  <c r="H46" i="6" s="1"/>
  <c r="F45" i="6"/>
  <c r="H45" i="6" s="1"/>
  <c r="F44" i="6"/>
  <c r="H44" i="6" s="1"/>
  <c r="F43" i="6"/>
  <c r="H43" i="6" s="1"/>
  <c r="F42" i="6"/>
  <c r="H42" i="6" s="1"/>
  <c r="F41" i="6"/>
  <c r="H41" i="6" s="1"/>
  <c r="F40" i="6"/>
  <c r="H40" i="6" s="1"/>
  <c r="F39" i="6"/>
  <c r="H39" i="6" s="1"/>
  <c r="F38" i="6"/>
  <c r="H38" i="6" s="1"/>
  <c r="F37" i="6"/>
  <c r="H37" i="6" s="1"/>
  <c r="F36" i="6"/>
  <c r="H36" i="6" s="1"/>
  <c r="F35" i="6"/>
  <c r="H35" i="6" s="1"/>
  <c r="F34" i="6"/>
  <c r="H34" i="6" s="1"/>
  <c r="F33" i="6"/>
  <c r="H33" i="6" s="1"/>
  <c r="F32" i="6"/>
  <c r="H32" i="6" s="1"/>
  <c r="F31" i="6"/>
  <c r="F30" i="6"/>
  <c r="H30" i="6" s="1"/>
  <c r="F29" i="6"/>
  <c r="H29" i="6" s="1"/>
  <c r="F28" i="6"/>
  <c r="H28" i="6" s="1"/>
  <c r="F27" i="6"/>
  <c r="H27" i="6" s="1"/>
  <c r="F26" i="6"/>
  <c r="H26" i="6" s="1"/>
  <c r="F25" i="6"/>
  <c r="H25" i="6" s="1"/>
  <c r="F24" i="6"/>
  <c r="H24" i="6" s="1"/>
  <c r="F23" i="6"/>
  <c r="H23" i="6" s="1"/>
  <c r="F22" i="6"/>
  <c r="H22" i="6" s="1"/>
  <c r="F21" i="6"/>
  <c r="H21" i="6" s="1"/>
  <c r="F20" i="6"/>
  <c r="H20" i="6" s="1"/>
  <c r="F19" i="6"/>
  <c r="H19" i="6" s="1"/>
  <c r="F18" i="6"/>
  <c r="H18" i="6" s="1"/>
  <c r="F17" i="6"/>
  <c r="H17" i="6" s="1"/>
  <c r="F16" i="6"/>
  <c r="H16" i="6" s="1"/>
  <c r="F15" i="6"/>
  <c r="H15" i="6" s="1"/>
  <c r="F14" i="6"/>
  <c r="H14" i="6" s="1"/>
  <c r="F13" i="6"/>
  <c r="H13" i="6" s="1"/>
  <c r="F12" i="6"/>
  <c r="H12" i="6" s="1"/>
  <c r="F11" i="6"/>
  <c r="H11" i="6" s="1"/>
  <c r="F10" i="6"/>
  <c r="F9" i="6"/>
  <c r="F8" i="6"/>
  <c r="H8" i="6" s="1"/>
  <c r="F7" i="6"/>
  <c r="H7" i="6" s="1"/>
  <c r="F6" i="6"/>
  <c r="H6" i="6" s="1"/>
  <c r="F5" i="6"/>
  <c r="H5" i="6" s="1"/>
  <c r="F4" i="6"/>
  <c r="H4" i="6" s="1"/>
  <c r="F3" i="6"/>
  <c r="H3" i="6" s="1"/>
  <c r="F2" i="6"/>
  <c r="H2" i="6" s="1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F128" i="4"/>
  <c r="H128" i="4" s="1"/>
  <c r="F127" i="4"/>
  <c r="H127" i="4" s="1"/>
  <c r="F126" i="4"/>
  <c r="H126" i="4" s="1"/>
  <c r="F125" i="4"/>
  <c r="H125" i="4" s="1"/>
  <c r="F124" i="4"/>
  <c r="H124" i="4" s="1"/>
  <c r="F123" i="4"/>
  <c r="H123" i="4" s="1"/>
  <c r="F122" i="4"/>
  <c r="H122" i="4" s="1"/>
  <c r="F121" i="4"/>
  <c r="H121" i="4" s="1"/>
  <c r="F120" i="4"/>
  <c r="H120" i="4" s="1"/>
  <c r="F119" i="4"/>
  <c r="H119" i="4" s="1"/>
  <c r="F118" i="4"/>
  <c r="H118" i="4" s="1"/>
  <c r="F117" i="4"/>
  <c r="H117" i="4" s="1"/>
  <c r="F116" i="4"/>
  <c r="H116" i="4" s="1"/>
  <c r="F115" i="4"/>
  <c r="H115" i="4" s="1"/>
  <c r="F114" i="4"/>
  <c r="F113" i="4"/>
  <c r="H113" i="4" s="1"/>
  <c r="F112" i="4"/>
  <c r="H112" i="4" s="1"/>
  <c r="F111" i="4"/>
  <c r="F110" i="4"/>
  <c r="H110" i="4" s="1"/>
  <c r="F109" i="4"/>
  <c r="H109" i="4" s="1"/>
  <c r="F108" i="4"/>
  <c r="H108" i="4" s="1"/>
  <c r="F107" i="4"/>
  <c r="H107" i="4" s="1"/>
  <c r="F106" i="4"/>
  <c r="H106" i="4" s="1"/>
  <c r="F105" i="4"/>
  <c r="H105" i="4" s="1"/>
  <c r="F104" i="4"/>
  <c r="H104" i="4" s="1"/>
  <c r="F103" i="4"/>
  <c r="H103" i="4" s="1"/>
  <c r="F102" i="4"/>
  <c r="H102" i="4" s="1"/>
  <c r="F101" i="4"/>
  <c r="H101" i="4" s="1"/>
  <c r="F100" i="4"/>
  <c r="H100" i="4" s="1"/>
  <c r="F99" i="4"/>
  <c r="H99" i="4" s="1"/>
  <c r="F98" i="4"/>
  <c r="H98" i="4" s="1"/>
  <c r="F97" i="4"/>
  <c r="H97" i="4" s="1"/>
  <c r="F96" i="4"/>
  <c r="H96" i="4" s="1"/>
  <c r="F95" i="4"/>
  <c r="H95" i="4" s="1"/>
  <c r="F94" i="4"/>
  <c r="H94" i="4" s="1"/>
  <c r="F93" i="4"/>
  <c r="H93" i="4" s="1"/>
  <c r="F92" i="4"/>
  <c r="H92" i="4" s="1"/>
  <c r="F91" i="4"/>
  <c r="H91" i="4" s="1"/>
  <c r="F90" i="4"/>
  <c r="H90" i="4" s="1"/>
  <c r="F89" i="4"/>
  <c r="H89" i="4" s="1"/>
  <c r="F88" i="4"/>
  <c r="H88" i="4" s="1"/>
  <c r="F87" i="4"/>
  <c r="F86" i="4"/>
  <c r="H86" i="4" s="1"/>
  <c r="F85" i="4"/>
  <c r="H85" i="4" s="1"/>
  <c r="F84" i="4"/>
  <c r="H84" i="4" s="1"/>
  <c r="F83" i="4"/>
  <c r="H83" i="4" s="1"/>
  <c r="F82" i="4"/>
  <c r="H82" i="4" s="1"/>
  <c r="F81" i="4"/>
  <c r="H81" i="4" s="1"/>
  <c r="F80" i="4"/>
  <c r="H80" i="4" s="1"/>
  <c r="F79" i="4"/>
  <c r="H79" i="4" s="1"/>
  <c r="F78" i="4"/>
  <c r="H78" i="4" s="1"/>
  <c r="F77" i="4"/>
  <c r="H77" i="4" s="1"/>
  <c r="F76" i="4"/>
  <c r="F75" i="4"/>
  <c r="H75" i="4" s="1"/>
  <c r="F74" i="4"/>
  <c r="H74" i="4" s="1"/>
  <c r="F73" i="4"/>
  <c r="H73" i="4" s="1"/>
  <c r="F72" i="4"/>
  <c r="H72" i="4" s="1"/>
  <c r="F71" i="4"/>
  <c r="H71" i="4" s="1"/>
  <c r="F70" i="4"/>
  <c r="H70" i="4" s="1"/>
  <c r="F69" i="4"/>
  <c r="H69" i="4" s="1"/>
  <c r="F68" i="4"/>
  <c r="H68" i="4" s="1"/>
  <c r="F67" i="4"/>
  <c r="H67" i="4" s="1"/>
  <c r="F66" i="4"/>
  <c r="H66" i="4" s="1"/>
  <c r="F65" i="4"/>
  <c r="H65" i="4" s="1"/>
  <c r="F64" i="4"/>
  <c r="H64" i="4" s="1"/>
  <c r="F63" i="4"/>
  <c r="H63" i="4" s="1"/>
  <c r="F62" i="4"/>
  <c r="H62" i="4" s="1"/>
  <c r="F61" i="4"/>
  <c r="H61" i="4" s="1"/>
  <c r="F60" i="4"/>
  <c r="H60" i="4" s="1"/>
  <c r="F59" i="4"/>
  <c r="H59" i="4" s="1"/>
  <c r="F58" i="4"/>
  <c r="H58" i="4" s="1"/>
  <c r="F57" i="4"/>
  <c r="H57" i="4" s="1"/>
  <c r="F56" i="4"/>
  <c r="H56" i="4" s="1"/>
  <c r="F55" i="4"/>
  <c r="H55" i="4" s="1"/>
  <c r="F54" i="4"/>
  <c r="H54" i="4" s="1"/>
  <c r="F53" i="4"/>
  <c r="H53" i="4" s="1"/>
  <c r="F52" i="4"/>
  <c r="H52" i="4" s="1"/>
  <c r="F51" i="4"/>
  <c r="H51" i="4" s="1"/>
  <c r="F50" i="4"/>
  <c r="H50" i="4" s="1"/>
  <c r="F49" i="4"/>
  <c r="H49" i="4" s="1"/>
  <c r="F48" i="4"/>
  <c r="H48" i="4" s="1"/>
  <c r="F47" i="4"/>
  <c r="H47" i="4" s="1"/>
  <c r="F46" i="4"/>
  <c r="H46" i="4" s="1"/>
  <c r="F45" i="4"/>
  <c r="H45" i="4" s="1"/>
  <c r="F44" i="4"/>
  <c r="H44" i="4" s="1"/>
  <c r="F43" i="4"/>
  <c r="H43" i="4" s="1"/>
  <c r="F42" i="4"/>
  <c r="H42" i="4" s="1"/>
  <c r="F41" i="4"/>
  <c r="H41" i="4" s="1"/>
  <c r="F40" i="4"/>
  <c r="H40" i="4" s="1"/>
  <c r="F39" i="4"/>
  <c r="H39" i="4" s="1"/>
  <c r="F38" i="4"/>
  <c r="H38" i="4" s="1"/>
  <c r="F37" i="4"/>
  <c r="H37" i="4" s="1"/>
  <c r="F36" i="4"/>
  <c r="H36" i="4" s="1"/>
  <c r="F35" i="4"/>
  <c r="H35" i="4" s="1"/>
  <c r="F34" i="4"/>
  <c r="H34" i="4" s="1"/>
  <c r="F33" i="4"/>
  <c r="H33" i="4" s="1"/>
  <c r="F32" i="4"/>
  <c r="H32" i="4" s="1"/>
  <c r="F31" i="4"/>
  <c r="H31" i="4" s="1"/>
  <c r="F30" i="4"/>
  <c r="H30" i="4" s="1"/>
  <c r="F29" i="4"/>
  <c r="H29" i="4" s="1"/>
  <c r="F28" i="4"/>
  <c r="H28" i="4" s="1"/>
  <c r="F27" i="4"/>
  <c r="F26" i="4"/>
  <c r="H26" i="4" s="1"/>
  <c r="F25" i="4"/>
  <c r="H25" i="4" s="1"/>
  <c r="F24" i="4"/>
  <c r="H24" i="4" s="1"/>
  <c r="F23" i="4"/>
  <c r="H23" i="4" s="1"/>
  <c r="F22" i="4"/>
  <c r="H22" i="4" s="1"/>
  <c r="F21" i="4"/>
  <c r="H21" i="4" s="1"/>
  <c r="F20" i="4"/>
  <c r="H20" i="4" s="1"/>
  <c r="F19" i="4"/>
  <c r="H19" i="4" s="1"/>
  <c r="F18" i="4"/>
  <c r="H18" i="4" s="1"/>
  <c r="F17" i="4"/>
  <c r="H17" i="4" s="1"/>
  <c r="F16" i="4"/>
  <c r="F15" i="4"/>
  <c r="H15" i="4" s="1"/>
  <c r="F14" i="4"/>
  <c r="H14" i="4" s="1"/>
  <c r="F13" i="4"/>
  <c r="H13" i="4" s="1"/>
  <c r="F12" i="4"/>
  <c r="H12" i="4" s="1"/>
  <c r="F11" i="4"/>
  <c r="H11" i="4" s="1"/>
  <c r="F10" i="4"/>
  <c r="H10" i="4" s="1"/>
  <c r="F9" i="4"/>
  <c r="H9" i="4" s="1"/>
  <c r="F8" i="4"/>
  <c r="H8" i="4" s="1"/>
  <c r="F7" i="4"/>
  <c r="H7" i="4" s="1"/>
  <c r="F6" i="4"/>
  <c r="H6" i="4" s="1"/>
  <c r="F5" i="4"/>
  <c r="H5" i="4" s="1"/>
  <c r="F4" i="4"/>
  <c r="H4" i="4" s="1"/>
  <c r="F3" i="4"/>
  <c r="H3" i="4" s="1"/>
  <c r="F2" i="4"/>
  <c r="H2" i="4" s="1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H9" i="6" l="1"/>
  <c r="F166" i="6"/>
  <c r="K7" i="12" l="1"/>
  <c r="G5" i="12" l="1"/>
  <c r="H5" i="12" s="1"/>
  <c r="K5" i="12" s="1"/>
  <c r="G4" i="12" l="1"/>
  <c r="H4" i="12" s="1"/>
  <c r="K4" i="12" s="1"/>
  <c r="G3" i="12"/>
  <c r="H3" i="12" s="1"/>
  <c r="K3" i="12" s="1"/>
  <c r="G11" i="12"/>
  <c r="F164" i="6" l="1"/>
  <c r="H164" i="6" s="1"/>
  <c r="J2" i="12" l="1"/>
  <c r="K163" i="6" l="1"/>
  <c r="K161" i="6"/>
  <c r="K160" i="6"/>
  <c r="K159" i="6"/>
  <c r="K158" i="6"/>
  <c r="K157" i="6"/>
  <c r="K156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K166" i="6" l="1"/>
  <c r="K164" i="6"/>
  <c r="G2" i="12" l="1"/>
  <c r="K155" i="6" l="1"/>
  <c r="J45" i="6"/>
  <c r="J28" i="6"/>
  <c r="K162" i="6"/>
  <c r="G10" i="12"/>
  <c r="G12" i="12" s="1"/>
  <c r="H2" i="12"/>
  <c r="K2" i="12" s="1"/>
  <c r="K9" i="12" s="1"/>
  <c r="G166" i="6"/>
</calcChain>
</file>

<file path=xl/sharedStrings.xml><?xml version="1.0" encoding="utf-8"?>
<sst xmlns="http://schemas.openxmlformats.org/spreadsheetml/2006/main" count="1307" uniqueCount="655">
  <si>
    <t>Particulars</t>
  </si>
  <si>
    <t>Cash and cash equivalents</t>
  </si>
  <si>
    <t>Cheques</t>
  </si>
  <si>
    <t>17001</t>
  </si>
  <si>
    <t>Cash on hand</t>
  </si>
  <si>
    <t>17003</t>
  </si>
  <si>
    <t>Bank balances ≤ 90 days</t>
  </si>
  <si>
    <t>17005</t>
  </si>
  <si>
    <t>Total: Cash and cash equivalents</t>
  </si>
  <si>
    <t>AC_CH</t>
  </si>
  <si>
    <t>Trade receivables</t>
  </si>
  <si>
    <t>Trade receivables - 3rd, B-c, B-f</t>
  </si>
  <si>
    <t>Trade receivables - K</t>
  </si>
  <si>
    <t>License receivables - K</t>
  </si>
  <si>
    <t>Trade receivables - N</t>
  </si>
  <si>
    <t>Trade receivables - B-a</t>
  </si>
  <si>
    <t>Total: Trade receivables</t>
  </si>
  <si>
    <t>18000</t>
  </si>
  <si>
    <t>18020</t>
  </si>
  <si>
    <t>18025</t>
  </si>
  <si>
    <t>18040</t>
  </si>
  <si>
    <t>18060</t>
  </si>
  <si>
    <t>AC_AR</t>
  </si>
  <si>
    <t>Other current financial assets</t>
  </si>
  <si>
    <t>Money market funds - FVPL</t>
  </si>
  <si>
    <t>Marketable securities ≤ 1 y - FVOCI wR</t>
  </si>
  <si>
    <t>Marketable securities ≤ 1 y - AC</t>
  </si>
  <si>
    <t>Other marketable securities ≤ 1 y - FVPL</t>
  </si>
  <si>
    <t>Total: Marketable securities ≤ 1 y.</t>
  </si>
  <si>
    <t>17057</t>
  </si>
  <si>
    <t>17066</t>
  </si>
  <si>
    <t>17067</t>
  </si>
  <si>
    <t>17068</t>
  </si>
  <si>
    <t>17099</t>
  </si>
  <si>
    <t>Loans</t>
  </si>
  <si>
    <t>Loans ≤ 1 y - 3rd, B-c, B-f</t>
  </si>
  <si>
    <t>18210</t>
  </si>
  <si>
    <t>Loans ≤ 1 y - employees</t>
  </si>
  <si>
    <t>18215</t>
  </si>
  <si>
    <t>Loans ≤ 1 y - K</t>
  </si>
  <si>
    <t>18220</t>
  </si>
  <si>
    <t>Loans ≤ 1 y - N</t>
  </si>
  <si>
    <t>18240</t>
  </si>
  <si>
    <t>Loans ≤ 1 y - B-a</t>
  </si>
  <si>
    <t>18260</t>
  </si>
  <si>
    <t>Loans FVPL (not SPPI compliant) ≤ 1 y - 3rd, B-c, B-f</t>
  </si>
  <si>
    <t>18280</t>
  </si>
  <si>
    <t>Total: Loans ≤ 1 y</t>
  </si>
  <si>
    <t>18299</t>
  </si>
  <si>
    <t>Financial clearing, cash pool</t>
  </si>
  <si>
    <t>Financial clearing, cash pool - K</t>
  </si>
  <si>
    <t>18320</t>
  </si>
  <si>
    <t>Financial clearing, cash pool - N</t>
  </si>
  <si>
    <t>18340</t>
  </si>
  <si>
    <t>Finanzclearing, cash pool - B-a</t>
  </si>
  <si>
    <t>18360</t>
  </si>
  <si>
    <t>Finanzclearing, cash pool - B-c, B-f</t>
  </si>
  <si>
    <t>18370</t>
  </si>
  <si>
    <t>Total: Financial clearing, cash pool</t>
  </si>
  <si>
    <t>18399</t>
  </si>
  <si>
    <t>Receivables f. fin. lease (lessor) ≤ 1 y</t>
  </si>
  <si>
    <t>18600</t>
  </si>
  <si>
    <t>Derivatives w/o hedge ≤ 1 y - 3rd</t>
  </si>
  <si>
    <t>18603</t>
  </si>
  <si>
    <t>Fin. receivables board members, employees ≤ 1 y</t>
  </si>
  <si>
    <t>18516</t>
  </si>
  <si>
    <t>Receivables dividends - B-c, B-f</t>
  </si>
  <si>
    <t>18611</t>
  </si>
  <si>
    <t>Creditors with debit balances third parties, B-c, B-f</t>
  </si>
  <si>
    <t>18614</t>
  </si>
  <si>
    <t>Receivables accrued interest - 3rd, B-c, B-f</t>
  </si>
  <si>
    <t>18615</t>
  </si>
  <si>
    <t>Other financial receivables ≤ 1 year third parties, B-c, B-f</t>
  </si>
  <si>
    <t>18616</t>
  </si>
  <si>
    <t>Receivables PTA/dividends - K</t>
  </si>
  <si>
    <t>18621</t>
  </si>
  <si>
    <t>Creditors with debit balances - K</t>
  </si>
  <si>
    <t>18624</t>
  </si>
  <si>
    <t>Receivables accrued interest - K</t>
  </si>
  <si>
    <t>18625</t>
  </si>
  <si>
    <t>Other financial receivables ≤ 1 y - K</t>
  </si>
  <si>
    <t>18626</t>
  </si>
  <si>
    <t>Receivables PTA/dividends - N</t>
  </si>
  <si>
    <t>18641</t>
  </si>
  <si>
    <t>Creditors with debit balances - N</t>
  </si>
  <si>
    <t>18644</t>
  </si>
  <si>
    <t>Receivables accrued interest - N</t>
  </si>
  <si>
    <t>18645</t>
  </si>
  <si>
    <t>Other financial receivables ≤ 1 y - N</t>
  </si>
  <si>
    <t>18646</t>
  </si>
  <si>
    <t>Receivables dividends - B-a</t>
  </si>
  <si>
    <t>18661</t>
  </si>
  <si>
    <t>Creditors with debit balances - B-a</t>
  </si>
  <si>
    <t>18664</t>
  </si>
  <si>
    <t>Receivables accrued interest - B-a</t>
  </si>
  <si>
    <t>18665</t>
  </si>
  <si>
    <t>Other financial receivables ≤ 1 y - B-a</t>
  </si>
  <si>
    <t>18666</t>
  </si>
  <si>
    <t>Total: Other current financial assets</t>
  </si>
  <si>
    <t>AC_FA</t>
  </si>
  <si>
    <t>CA: Sales over time ≤ 1 y - 3rd, N, B-a, B-c, B-f</t>
  </si>
  <si>
    <t>18700</t>
  </si>
  <si>
    <t xml:space="preserve">CA: Other ≤ 1 y - 3rd, N, B-a, B-c, B-f  </t>
  </si>
  <si>
    <t>18701</t>
  </si>
  <si>
    <t>CA: R&amp;D contracts ≤ 1 y - 3rd, B-a, B-c, B-f</t>
  </si>
  <si>
    <t>18704</t>
  </si>
  <si>
    <t>CA: R&amp;D contracts ≤ 1 y - N</t>
  </si>
  <si>
    <t>18740</t>
  </si>
  <si>
    <t>Total: Contract assets (CA) ≤ 1 y</t>
  </si>
  <si>
    <t>AC_CA</t>
  </si>
  <si>
    <t>Income tax receivables ≤ 1 y</t>
  </si>
  <si>
    <t>18510</t>
  </si>
  <si>
    <t>Total: Income tax receivables ≤ 1 y</t>
  </si>
  <si>
    <t>AC_IT</t>
  </si>
  <si>
    <t>Other current receivables</t>
  </si>
  <si>
    <t>Prepaid expenses ≤ 1 y - 3rd, N, B-a, B-c, B-f</t>
  </si>
  <si>
    <t>18400</t>
  </si>
  <si>
    <t>Prepaid expenses ≤ 1 y - K</t>
  </si>
  <si>
    <t>18410</t>
  </si>
  <si>
    <t>Special payments to suppliers ≤ 1 y</t>
  </si>
  <si>
    <t>18470</t>
  </si>
  <si>
    <t>Other tax receivables ≤ 1 y</t>
  </si>
  <si>
    <t>18511</t>
  </si>
  <si>
    <t>Other receivables board members, employees ≤ 1 y</t>
  </si>
  <si>
    <t>18515</t>
  </si>
  <si>
    <t>Receivables from interest on tax rec. ≤ 1 y</t>
  </si>
  <si>
    <t>18604</t>
  </si>
  <si>
    <t>Sundry other receivables ≤ 1 y - 3rd, B-c, B-f</t>
  </si>
  <si>
    <t>18610</t>
  </si>
  <si>
    <t>Down payment made for other services - 3rd, B-c, B-f</t>
  </si>
  <si>
    <t>18618</t>
  </si>
  <si>
    <t>Sundry other receivables ≤ 1 y - K</t>
  </si>
  <si>
    <t>18620</t>
  </si>
  <si>
    <t>Receivables tax consolidation - K</t>
  </si>
  <si>
    <t>18622</t>
  </si>
  <si>
    <t>18623</t>
  </si>
  <si>
    <t>Quick savings ≤ 1 y - 3rd, N, B-a, B-c, B-f</t>
  </si>
  <si>
    <t>18627</t>
  </si>
  <si>
    <t>Down payment made for other services - K</t>
  </si>
  <si>
    <t>18628</t>
  </si>
  <si>
    <t>Sundry other receivables ≤ 1 y - N</t>
  </si>
  <si>
    <t>18640</t>
  </si>
  <si>
    <t>Receivables tax consolidation - N</t>
  </si>
  <si>
    <t>18642</t>
  </si>
  <si>
    <t>Down payment made for other services - N</t>
  </si>
  <si>
    <t>18648</t>
  </si>
  <si>
    <t>Sundry other receivables ≤ 1 y - B-a</t>
  </si>
  <si>
    <t>18660</t>
  </si>
  <si>
    <t>Down payment made for other services - B-a</t>
  </si>
  <si>
    <t>18668</t>
  </si>
  <si>
    <t>Total: Other current assets</t>
  </si>
  <si>
    <t>AC_OA</t>
  </si>
  <si>
    <t>Total: Inventories</t>
  </si>
  <si>
    <t>AC_IV</t>
  </si>
  <si>
    <t>Total: Current assets</t>
  </si>
  <si>
    <t>AC_TO</t>
  </si>
  <si>
    <t>Stocks - FVOCI nR</t>
  </si>
  <si>
    <t>15100</t>
  </si>
  <si>
    <t>Marketable securities &gt; 1 y - FVOCI wR</t>
  </si>
  <si>
    <t>15102</t>
  </si>
  <si>
    <t>Marketable securities &gt; 1 y - AC</t>
  </si>
  <si>
    <t>15105</t>
  </si>
  <si>
    <t>Marketable securities others &gt; 1 y - FVPL</t>
  </si>
  <si>
    <t>15106</t>
  </si>
  <si>
    <t>Investment funds - FVPL</t>
  </si>
  <si>
    <t>15107</t>
  </si>
  <si>
    <t>Total: Marketable securities &gt; 1 y.</t>
  </si>
  <si>
    <t>15109</t>
  </si>
  <si>
    <t>Total: Investments (wo B-a)</t>
  </si>
  <si>
    <t>AN_IN</t>
  </si>
  <si>
    <t>Bank balances &gt; 1 y</t>
  </si>
  <si>
    <t>15051</t>
  </si>
  <si>
    <t>Loans &gt; 1 y - 3rd, B-c, B-f</t>
  </si>
  <si>
    <t>15210</t>
  </si>
  <si>
    <t>Loans &gt; 1 y - employees</t>
  </si>
  <si>
    <t>15215</t>
  </si>
  <si>
    <t>Loans &gt; 1 y - K</t>
  </si>
  <si>
    <t>15220</t>
  </si>
  <si>
    <t>Loans &gt; 1 y - N</t>
  </si>
  <si>
    <t>15240</t>
  </si>
  <si>
    <t>Loans &gt; 1 y - B-a</t>
  </si>
  <si>
    <t>15260</t>
  </si>
  <si>
    <t>Loans FVPL (not SPPI compliant) &gt; 1 y - 3rd, B-c, B-f</t>
  </si>
  <si>
    <t>15280</t>
  </si>
  <si>
    <t>Total: Loans &gt; 1 y</t>
  </si>
  <si>
    <t>15289</t>
  </si>
  <si>
    <t>Derivatives w/o hedge &gt; 1 y - 3rd</t>
  </si>
  <si>
    <t>15303</t>
  </si>
  <si>
    <t>Receivables from finance lease (lessor) &gt; 1 y</t>
  </si>
  <si>
    <t>15305</t>
  </si>
  <si>
    <t>Other financial receivables &gt; 1 y - 3rd, B-c, B-f</t>
  </si>
  <si>
    <t>15312</t>
  </si>
  <si>
    <t>Other financial receivables &gt; 1 y - K</t>
  </si>
  <si>
    <t>15322</t>
  </si>
  <si>
    <t>Other financial receivables &gt; 1 y - N</t>
  </si>
  <si>
    <t>15342</t>
  </si>
  <si>
    <t>Other financial receivables &gt; 1 y - B-a</t>
  </si>
  <si>
    <t>15362</t>
  </si>
  <si>
    <t>Total: other non-current financial assets &gt; 1 y</t>
  </si>
  <si>
    <t>AN_FA</t>
  </si>
  <si>
    <t>CA: Sales over time &gt; 1 y - 3rd, N, B-a, B-c, B-f</t>
  </si>
  <si>
    <t>15500</t>
  </si>
  <si>
    <t>CA: Other &gt; 1 y - 3rd, N, B-a, B-c, B-f</t>
  </si>
  <si>
    <t>15501</t>
  </si>
  <si>
    <t>CA: R&amp;D contracts &gt; 1 y - 3rd, B-a, B-c, B-f</t>
  </si>
  <si>
    <t>15504</t>
  </si>
  <si>
    <t>CA: R&amp;D contracts &gt; 1 y - N</t>
  </si>
  <si>
    <t>15540</t>
  </si>
  <si>
    <t>Total: Contract assets (CA) &gt; 1 y</t>
  </si>
  <si>
    <t>AN_CA</t>
  </si>
  <si>
    <t>Income tax receivables &gt; 1 y</t>
  </si>
  <si>
    <t>15315</t>
  </si>
  <si>
    <t>Total: Income tax receivables &gt; 1 y</t>
  </si>
  <si>
    <t>AN_IT</t>
  </si>
  <si>
    <t>Total: Tangible fixed assets</t>
  </si>
  <si>
    <t>AN_TF</t>
  </si>
  <si>
    <t>Total: Right-of-use assets leasing</t>
  </si>
  <si>
    <t>AN_RU</t>
  </si>
  <si>
    <t>Total: Intangible assets</t>
  </si>
  <si>
    <t>AN_IA</t>
  </si>
  <si>
    <t>Total: Investments (B-a)</t>
  </si>
  <si>
    <t>AN_BA</t>
  </si>
  <si>
    <t>Other receivables and other assets</t>
  </si>
  <si>
    <t>Receivables from pensionfunds, overaccrued</t>
  </si>
  <si>
    <t>15300</t>
  </si>
  <si>
    <t>Receivables from interest on tax rec. &gt; 1 y</t>
  </si>
  <si>
    <t>15304</t>
  </si>
  <si>
    <t>Sundry other receiv. &gt; 1 y - 3rd, B-c, B-f</t>
  </si>
  <si>
    <t>15310</t>
  </si>
  <si>
    <t>Other tax receivables &gt; 1 year</t>
  </si>
  <si>
    <t>15316</t>
  </si>
  <si>
    <t>Sundry other receivables &gt; 1 y - K</t>
  </si>
  <si>
    <t>15320</t>
  </si>
  <si>
    <t>Capitalized Costs to fulfil a contract &gt; 1 y - 3rd, N, B-a, B-c, B-f</t>
  </si>
  <si>
    <t>15323</t>
  </si>
  <si>
    <t>Quick savings &gt; 1 y - 3rd, N, B-a, B-c, B-f</t>
  </si>
  <si>
    <t>15327</t>
  </si>
  <si>
    <t>Down payment made for other services - K  &gt; 1 y</t>
  </si>
  <si>
    <t>15328</t>
  </si>
  <si>
    <t>Sundry other receivables &gt; 1 y - N</t>
  </si>
  <si>
    <t>15340</t>
  </si>
  <si>
    <t>Sundry other receivables &gt; 1 y - B-a</t>
  </si>
  <si>
    <t>15360</t>
  </si>
  <si>
    <t>Prepaid expenses &gt; 1 y - 3rd, N, B-a, B-c, B-f</t>
  </si>
  <si>
    <t>15400</t>
  </si>
  <si>
    <t>Prepaid expenses &gt; 1 y - K</t>
  </si>
  <si>
    <t>15420</t>
  </si>
  <si>
    <t>Special payments to suppliers &gt; 1 y</t>
  </si>
  <si>
    <t>15470</t>
  </si>
  <si>
    <t>Total: Other non-current assets</t>
  </si>
  <si>
    <t>AN_OA</t>
  </si>
  <si>
    <t>Deferred tax assets</t>
  </si>
  <si>
    <t>15600</t>
  </si>
  <si>
    <t>Total: Deferred tax assets</t>
  </si>
  <si>
    <t>AN_DT</t>
  </si>
  <si>
    <t>Total: Non-current assets</t>
  </si>
  <si>
    <t>AN_TO</t>
  </si>
  <si>
    <t>Total: Assets</t>
  </si>
  <si>
    <t>A_TOT</t>
  </si>
  <si>
    <t>Main Category</t>
  </si>
  <si>
    <t>Sub Category</t>
  </si>
  <si>
    <t>Marketable securities ≤ 1 y.</t>
  </si>
  <si>
    <t>Item Number</t>
  </si>
  <si>
    <t>Assets</t>
  </si>
  <si>
    <t>Current Assets</t>
  </si>
  <si>
    <r>
      <t xml:space="preserve">Capitalized Costs to fulfil a contract </t>
    </r>
    <r>
      <rPr>
        <u/>
        <sz val="11"/>
        <rFont val="Calibri"/>
        <family val="2"/>
        <scheme val="minor"/>
      </rPr>
      <t>&lt;</t>
    </r>
    <r>
      <rPr>
        <sz val="11"/>
        <rFont val="Calibri"/>
        <family val="2"/>
        <scheme val="minor"/>
      </rPr>
      <t xml:space="preserve"> 1 y - 3rd, N, B-a, B-c, B-f</t>
    </r>
  </si>
  <si>
    <t>Contract assets (CA) ≤ 1 y</t>
  </si>
  <si>
    <t>Inventories</t>
  </si>
  <si>
    <t>Non-current assets</t>
  </si>
  <si>
    <t>Marketable securities &gt; 1 y.</t>
  </si>
  <si>
    <t>Investments (wo B-a)</t>
  </si>
  <si>
    <t>Loans &gt; 1 y</t>
  </si>
  <si>
    <t>Total: Bank balances &gt; 1 y</t>
  </si>
  <si>
    <t>Contract assets (CA) &gt; 1 y</t>
  </si>
  <si>
    <t>Tangible fixed assets</t>
  </si>
  <si>
    <t>Right-of-use assets leasing</t>
  </si>
  <si>
    <t>Intangible assets</t>
  </si>
  <si>
    <t>Investments (B-a)</t>
  </si>
  <si>
    <t>Other current assets</t>
  </si>
  <si>
    <t>Other non-current assets</t>
  </si>
  <si>
    <t>Other non-current financial assets &gt; 1 y</t>
  </si>
  <si>
    <t>page A.FA</t>
  </si>
  <si>
    <t>page A.Imt</t>
  </si>
  <si>
    <t>page A.1_K</t>
  </si>
  <si>
    <t>page A.1_N</t>
  </si>
  <si>
    <t>Liabilities</t>
  </si>
  <si>
    <t>Current liabilities ( ≤ 1 year)</t>
  </si>
  <si>
    <t>Trade payables</t>
  </si>
  <si>
    <t>Trade payables  - 3rd, B-c, B-f</t>
  </si>
  <si>
    <t>Trade payables - K</t>
  </si>
  <si>
    <t>License payables - K</t>
  </si>
  <si>
    <t>Trade payables - N</t>
  </si>
  <si>
    <t>Trade payables - B-a</t>
  </si>
  <si>
    <t>Total: Trade payables</t>
  </si>
  <si>
    <t>20100</t>
  </si>
  <si>
    <t>20120</t>
  </si>
  <si>
    <t>20125</t>
  </si>
  <si>
    <t>20140</t>
  </si>
  <si>
    <t>20160</t>
  </si>
  <si>
    <t>20179</t>
  </si>
  <si>
    <t>Notes payable</t>
  </si>
  <si>
    <t>20180</t>
  </si>
  <si>
    <t>Total: Trade payables and notes payable</t>
  </si>
  <si>
    <t>LC_AP</t>
  </si>
  <si>
    <t>Lease liabilities (lessee) ≤ 1 y</t>
  </si>
  <si>
    <t>21500</t>
  </si>
  <si>
    <t>LC_LL</t>
  </si>
  <si>
    <t>Total: Lease liabilities (lessee) ≤ 1 y</t>
  </si>
  <si>
    <t>Financial liabilities</t>
  </si>
  <si>
    <t>Bonds ≤ 1 y</t>
  </si>
  <si>
    <t>Liabilities with banks ≤ 1 y</t>
  </si>
  <si>
    <t>Commercial papers ≤ 1 y</t>
  </si>
  <si>
    <t>Promissory note loans ≤ 1 y</t>
  </si>
  <si>
    <t>Other financial liabilities ≤ 1 y</t>
  </si>
  <si>
    <t>Total: Financial liabilities ≤ 1 y</t>
  </si>
  <si>
    <t>20010</t>
  </si>
  <si>
    <t>20020</t>
  </si>
  <si>
    <t>20030</t>
  </si>
  <si>
    <t>20035</t>
  </si>
  <si>
    <t>20040</t>
  </si>
  <si>
    <t>20099</t>
  </si>
  <si>
    <t>20300</t>
  </si>
  <si>
    <t>20320</t>
  </si>
  <si>
    <t>20340</t>
  </si>
  <si>
    <t>20360</t>
  </si>
  <si>
    <t>20379</t>
  </si>
  <si>
    <t>Loans ≤ 1 y</t>
  </si>
  <si>
    <t>Financial clearing, cash pool - B-a</t>
  </si>
  <si>
    <t>Financial clearing, cash pool - B-c, B-f</t>
  </si>
  <si>
    <t>20420</t>
  </si>
  <si>
    <t>20440</t>
  </si>
  <si>
    <t>20460</t>
  </si>
  <si>
    <t>20470</t>
  </si>
  <si>
    <t>20479</t>
  </si>
  <si>
    <t>Liabilities dividends - 3rd, B-c, B-f</t>
  </si>
  <si>
    <t>Debtors with credit balances - 3rd, B-c, B-f</t>
  </si>
  <si>
    <t>Liabilities accrued interest - 3rd, B-c, B-f</t>
  </si>
  <si>
    <t>Other financial liabilities ≤ 1 y - 3rd, B-c, B-f</t>
  </si>
  <si>
    <t>Liabilities PTA/dividends - K</t>
  </si>
  <si>
    <t>Debtors with credit balances - K</t>
  </si>
  <si>
    <t>Liabilities accrued interest - K</t>
  </si>
  <si>
    <t>Other financial liabilities ≤ 1 y - K</t>
  </si>
  <si>
    <t>Liabilities PTA/dividends - N</t>
  </si>
  <si>
    <t>Debtors with credit balances - N</t>
  </si>
  <si>
    <t>Liabilities accrued interest - N</t>
  </si>
  <si>
    <t>Other financial liabilities ≤ 1 y - N</t>
  </si>
  <si>
    <t>Liabilities dividends - B-a</t>
  </si>
  <si>
    <t>Debtors with credit balances - B-a</t>
  </si>
  <si>
    <t>Liabilities accrued interest - B-a</t>
  </si>
  <si>
    <t>Other financial liabilities ≤ 1 y - B-a</t>
  </si>
  <si>
    <t>Financial liabil. to board members, employees ≤ 1 y</t>
  </si>
  <si>
    <t>Financial liabilities ≤ 1 y</t>
  </si>
  <si>
    <t>21305</t>
  </si>
  <si>
    <t>21312</t>
  </si>
  <si>
    <t>21314</t>
  </si>
  <si>
    <t>21315</t>
  </si>
  <si>
    <t>21318</t>
  </si>
  <si>
    <t>21321</t>
  </si>
  <si>
    <t>21324</t>
  </si>
  <si>
    <t>21325</t>
  </si>
  <si>
    <t>21328</t>
  </si>
  <si>
    <t>21341</t>
  </si>
  <si>
    <t>21344</t>
  </si>
  <si>
    <t>21345</t>
  </si>
  <si>
    <t>21348</t>
  </si>
  <si>
    <t>21361</t>
  </si>
  <si>
    <t>21364</t>
  </si>
  <si>
    <t>21365</t>
  </si>
  <si>
    <t>21368</t>
  </si>
  <si>
    <t>21391</t>
  </si>
  <si>
    <t>LC_FL</t>
  </si>
  <si>
    <t>CL: Sales over time ≤ 1 y - 3rd, N, B-a, B-c, B-f</t>
  </si>
  <si>
    <t>CL: Prepayments received R&amp;D ≤ 1 y - 3rd, N, B-a, B-c, B-f</t>
  </si>
  <si>
    <t>CL: Prepayments received ≤ 1 y - 3rd, N, B-a, B-c, B-f</t>
  </si>
  <si>
    <t>CL: Sales over time ≤ 1 y – K</t>
  </si>
  <si>
    <t>CL: Prepayments received ≤ 1 y - K</t>
  </si>
  <si>
    <t>CL: other sales rel. def. Inc. ≤ 1 y - 3rd, N, B-a, B-c, B-f</t>
  </si>
  <si>
    <t>CL: other sales related deferred income ≤ 1 y - K</t>
  </si>
  <si>
    <t>CL: deferral received tooling grants ≤ 1 y</t>
  </si>
  <si>
    <t>Total: Contract liabilities (CL) ≤ 1 y</t>
  </si>
  <si>
    <t>20200</t>
  </si>
  <si>
    <t>20203</t>
  </si>
  <si>
    <t>20210</t>
  </si>
  <si>
    <t>20215</t>
  </si>
  <si>
    <t>20220</t>
  </si>
  <si>
    <t>20250</t>
  </si>
  <si>
    <t>20251</t>
  </si>
  <si>
    <t>20255</t>
  </si>
  <si>
    <t>LC_CL</t>
  </si>
  <si>
    <t>Contract liabilities (CL) ≤ 1 y</t>
  </si>
  <si>
    <t>Income tax liabilities</t>
  </si>
  <si>
    <t>Total: Income tax liabilities ≤ 1 y</t>
  </si>
  <si>
    <t>Income tax liabilities ≤ 1 y</t>
  </si>
  <si>
    <t>21200</t>
  </si>
  <si>
    <t>LC_IT</t>
  </si>
  <si>
    <t>Accrued liabilities</t>
  </si>
  <si>
    <t>Ac.liab.: Vacation payments accrued</t>
  </si>
  <si>
    <t>Ac.liab.: Bonuses, profit participation</t>
  </si>
  <si>
    <t>Ac.liab.: Overtime, flex-time credits</t>
  </si>
  <si>
    <t>Ac.liab.: Personnel related, others</t>
  </si>
  <si>
    <t>Total: Accrued liab. personnel related</t>
  </si>
  <si>
    <t>21000</t>
  </si>
  <si>
    <t>21005</t>
  </si>
  <si>
    <t>21010</t>
  </si>
  <si>
    <t>21015</t>
  </si>
  <si>
    <t>21119</t>
  </si>
  <si>
    <t>Ac.liab.: Sales bonuses, rebates</t>
  </si>
  <si>
    <t>Ac.liab.: Customer discounts</t>
  </si>
  <si>
    <t>Ac.liab.: Advertising allowances</t>
  </si>
  <si>
    <t>Ac.liab.: Commissions</t>
  </si>
  <si>
    <t>Ac.liab.: Trade mark license fees</t>
  </si>
  <si>
    <t>Ac.liab.: Sales related, others</t>
  </si>
  <si>
    <t>Total: Accrued liabilities sales related</t>
  </si>
  <si>
    <t>21120</t>
  </si>
  <si>
    <t>21122</t>
  </si>
  <si>
    <t>21123</t>
  </si>
  <si>
    <t>21124</t>
  </si>
  <si>
    <t>21125</t>
  </si>
  <si>
    <t>21126</t>
  </si>
  <si>
    <t>21139</t>
  </si>
  <si>
    <t>Ac.liab.: Manufacturing license fees</t>
  </si>
  <si>
    <t>Ac.liab.: Costs of financial statements</t>
  </si>
  <si>
    <t>Ac.liab.: Fees and membership dues</t>
  </si>
  <si>
    <t>Ac.liab.: Others</t>
  </si>
  <si>
    <t>Ac.liab.: Outstanding invoices</t>
  </si>
  <si>
    <t>Total: Other accrued liabilities</t>
  </si>
  <si>
    <t>Total: Accrued liabilities</t>
  </si>
  <si>
    <t>21140</t>
  </si>
  <si>
    <t>21141</t>
  </si>
  <si>
    <t>21142</t>
  </si>
  <si>
    <t>21143</t>
  </si>
  <si>
    <t>21144</t>
  </si>
  <si>
    <t>21179</t>
  </si>
  <si>
    <t>21189</t>
  </si>
  <si>
    <t>Other tax liabilities ≤ 1 y</t>
  </si>
  <si>
    <t>Deferred income ≤ 1 y - 3rd, N, B-a, B-c, B-f</t>
  </si>
  <si>
    <t>Deferred income ≤ 1 y - K</t>
  </si>
  <si>
    <t>Liabilities from interest on tax liabilities ≤ 1 y</t>
  </si>
  <si>
    <t>Liabilities from tax penalties ≤ 1 y</t>
  </si>
  <si>
    <t>Sundry other liabilities ≤ 1 y - 3rd, B-c, B-f</t>
  </si>
  <si>
    <t>Liabilities from social security ≤ 1 y</t>
  </si>
  <si>
    <t>Sundry other liabilities ≤ 1 y - K</t>
  </si>
  <si>
    <t>Liabilities tax consolidation ≤ 1 y - K</t>
  </si>
  <si>
    <t>Sundry other liabilities ≤ 1 y - N</t>
  </si>
  <si>
    <t>Liabilities tax consolidation ≤ 1 y - N</t>
  </si>
  <si>
    <t>Sundry other liabilities - B-a ≤ 1 y</t>
  </si>
  <si>
    <t>Liabil. to board members, employees ≤ 1 y</t>
  </si>
  <si>
    <t>Total: Other liabilities ≤ 1 y</t>
  </si>
  <si>
    <t>21210</t>
  </si>
  <si>
    <t>21190</t>
  </si>
  <si>
    <t>21195</t>
  </si>
  <si>
    <t>21304</t>
  </si>
  <si>
    <t>21306</t>
  </si>
  <si>
    <t>21310</t>
  </si>
  <si>
    <t>21317</t>
  </si>
  <si>
    <t>21320</t>
  </si>
  <si>
    <t>21322</t>
  </si>
  <si>
    <t>21327</t>
  </si>
  <si>
    <t>21340</t>
  </si>
  <si>
    <t>21342</t>
  </si>
  <si>
    <t>21360</t>
  </si>
  <si>
    <t>21390</t>
  </si>
  <si>
    <t>LC_OL</t>
  </si>
  <si>
    <t>Other liabilities</t>
  </si>
  <si>
    <t>Income tax provisions (w/o uncertain tax pos.) ≤ 1 y</t>
  </si>
  <si>
    <t>Income tax provisions for uncertain tax pos.≤ 1 y</t>
  </si>
  <si>
    <t>Income tax provision Pillar 2 ≤ 1 y</t>
  </si>
  <si>
    <t>Total: Income tax provisions ≤ 1 y</t>
  </si>
  <si>
    <t>Income tax provisions ≤ 1 y</t>
  </si>
  <si>
    <t>23250</t>
  </si>
  <si>
    <t>23253</t>
  </si>
  <si>
    <t>23254</t>
  </si>
  <si>
    <t>LC_TP</t>
  </si>
  <si>
    <t>Other tax provisions ≤ 1 y</t>
  </si>
  <si>
    <t>Personnel related provisions ≤ 1 y</t>
  </si>
  <si>
    <t>Sales related provisions ≤ 1 y</t>
  </si>
  <si>
    <t>Sundry other provisions ≤ 1 y</t>
  </si>
  <si>
    <t>Total: Current provisions</t>
  </si>
  <si>
    <t>23251</t>
  </si>
  <si>
    <t>23319</t>
  </si>
  <si>
    <t>23339</t>
  </si>
  <si>
    <t>23369</t>
  </si>
  <si>
    <t>LC_PR</t>
  </si>
  <si>
    <t>Current provisions</t>
  </si>
  <si>
    <t>Total: Current liabilities</t>
  </si>
  <si>
    <t>LC_TO</t>
  </si>
  <si>
    <t>Non-current liabilities ( &gt; 1 year)</t>
  </si>
  <si>
    <t>Bonds &gt; 1 y</t>
  </si>
  <si>
    <t>Liabilities with banks &gt; 1 y</t>
  </si>
  <si>
    <t>Commercial papers &gt; 1 y</t>
  </si>
  <si>
    <t>Promissory note loan &gt; 1 y</t>
  </si>
  <si>
    <t>Other financial liabilities &gt; 1 y</t>
  </si>
  <si>
    <t>Total: Financial liabilities &gt; 1 y</t>
  </si>
  <si>
    <t>Financial liabilities &gt; 1 y</t>
  </si>
  <si>
    <t>24010</t>
  </si>
  <si>
    <t>24020</t>
  </si>
  <si>
    <t>24030</t>
  </si>
  <si>
    <t>24035</t>
  </si>
  <si>
    <t>24040</t>
  </si>
  <si>
    <t>24049</t>
  </si>
  <si>
    <t>24100</t>
  </si>
  <si>
    <t>24120</t>
  </si>
  <si>
    <t>24140</t>
  </si>
  <si>
    <t>24160</t>
  </si>
  <si>
    <t>24189</t>
  </si>
  <si>
    <t>Derivatives w/o hedge &gt; 1y - 3rd</t>
  </si>
  <si>
    <t>Other financial liabilities &gt; 1 y - 3rd, B-c, B-f</t>
  </si>
  <si>
    <t>Other financial liabilities &gt; 1 y - K</t>
  </si>
  <si>
    <t>Other financial liabilities &gt; 1 y - N</t>
  </si>
  <si>
    <t>Other financial liabilities &gt; 1 y - B-a</t>
  </si>
  <si>
    <t>Fin. liabil. to board memb., employees &gt; 1 y</t>
  </si>
  <si>
    <t>Total: Financial Liabilities &gt; 1 y</t>
  </si>
  <si>
    <t>Financial Liabilities &gt; 1 y</t>
  </si>
  <si>
    <t>24205</t>
  </si>
  <si>
    <t>24302</t>
  </si>
  <si>
    <t>24322</t>
  </si>
  <si>
    <t>24342</t>
  </si>
  <si>
    <t>24362</t>
  </si>
  <si>
    <t>24381</t>
  </si>
  <si>
    <t>LN_FL</t>
  </si>
  <si>
    <t>Lease liabilities (lessee) &gt; 1 y</t>
  </si>
  <si>
    <t>Total: Lease liabilities (lessee) &gt; 1 y</t>
  </si>
  <si>
    <t>24500</t>
  </si>
  <si>
    <t>LN_LL</t>
  </si>
  <si>
    <t>CL: Sales over time &gt; 1 y - 3rd, N, B-a, B-c, B-f</t>
  </si>
  <si>
    <t>CL: Prepayments received R&amp;D &gt; 1 y - 3rd, N, B-a, B-c, B-f</t>
  </si>
  <si>
    <t>CL: Prepayments received &gt; 1 y - 3rd, N, B-a, B-c, B-f</t>
  </si>
  <si>
    <t>CL: Sales over time &gt; 1 y – K</t>
  </si>
  <si>
    <t>CL: Prepayments received &gt; 1 y - K</t>
  </si>
  <si>
    <t>CL: other sales rel. def. Inc. &gt; 1 y - 3rd, N, B-a, B-c, B-f</t>
  </si>
  <si>
    <t>CL: other sales related deferred income &gt; 1 y - K</t>
  </si>
  <si>
    <t>CL: Deferral received tooling grants &gt; 1 y</t>
  </si>
  <si>
    <t>Total: Contract liabilities &gt; 1 y</t>
  </si>
  <si>
    <t>Contract liabilities &gt; 1 y</t>
  </si>
  <si>
    <t>25000</t>
  </si>
  <si>
    <t>25003</t>
  </si>
  <si>
    <t>25011</t>
  </si>
  <si>
    <t>25015</t>
  </si>
  <si>
    <t>25020</t>
  </si>
  <si>
    <t>25050</t>
  </si>
  <si>
    <t>25051</t>
  </si>
  <si>
    <t>25055</t>
  </si>
  <si>
    <t>LN_CL</t>
  </si>
  <si>
    <t>Other sundry liabil. &gt; 1 y - 3rd, B-c, B-f</t>
  </si>
  <si>
    <t>Other sundry liabilities &gt; 1 y - K</t>
  </si>
  <si>
    <t>Other sundry liabilities &gt; 1 y - N</t>
  </si>
  <si>
    <t>Other sundry liabilities &gt; 1 y - B-a</t>
  </si>
  <si>
    <t>Liabil. to board memb., employees &gt; 1 y</t>
  </si>
  <si>
    <t>Deferred income &gt; 1 y - 3rd, N, B-a, B-c, B-f</t>
  </si>
  <si>
    <t>Deferred income &gt; 1 y - K</t>
  </si>
  <si>
    <t>Total: Other Liabilities &gt; 1 y</t>
  </si>
  <si>
    <t>Other Liabilities &gt; 1 y</t>
  </si>
  <si>
    <t>24300</t>
  </si>
  <si>
    <t>24320</t>
  </si>
  <si>
    <t>24340</t>
  </si>
  <si>
    <t>24360</t>
  </si>
  <si>
    <t>24380</t>
  </si>
  <si>
    <t>24387</t>
  </si>
  <si>
    <t>27400</t>
  </si>
  <si>
    <t>27420</t>
  </si>
  <si>
    <t>LN_OL</t>
  </si>
  <si>
    <t>Provisions for pensions, similar oblig.</t>
  </si>
  <si>
    <t>Total: Provisions for pensions</t>
  </si>
  <si>
    <t>Provisions for pensions</t>
  </si>
  <si>
    <t>24060</t>
  </si>
  <si>
    <t>LN_PP</t>
  </si>
  <si>
    <t>Income tax provisions (w/o uncertain tax pos.) &gt; 1 y</t>
  </si>
  <si>
    <t>Income tax provisions for uncertain tax pos. &gt; 1 y</t>
  </si>
  <si>
    <t>Income tax provision Pillar 2 &gt; 1 y</t>
  </si>
  <si>
    <t>Total: Income tax provisions &gt; 1 y</t>
  </si>
  <si>
    <t>Income tax provisions &gt; 1 y</t>
  </si>
  <si>
    <t>27050</t>
  </si>
  <si>
    <t>27053</t>
  </si>
  <si>
    <t>27054</t>
  </si>
  <si>
    <t>LN_TP</t>
  </si>
  <si>
    <t>Other tax provisions &gt; 1 y</t>
  </si>
  <si>
    <t>Personnel related provisions &gt; 1 y</t>
  </si>
  <si>
    <t>Sales related provisions &gt; 1 y</t>
  </si>
  <si>
    <t>Sundry other provisions &gt; 1 y</t>
  </si>
  <si>
    <t>Total: Non-current provisions</t>
  </si>
  <si>
    <t>Non-current provisions</t>
  </si>
  <si>
    <t>27051</t>
  </si>
  <si>
    <t>27119</t>
  </si>
  <si>
    <t>27139</t>
  </si>
  <si>
    <t>27169</t>
  </si>
  <si>
    <t>LN_PR</t>
  </si>
  <si>
    <t>Deferred tax liabilities</t>
  </si>
  <si>
    <t>Total: Deferred tax liabilities</t>
  </si>
  <si>
    <t>27500</t>
  </si>
  <si>
    <t>LN_DT</t>
  </si>
  <si>
    <t>Total: Non-current liabilities</t>
  </si>
  <si>
    <t>Non-current liabilities</t>
  </si>
  <si>
    <t>LN_TO</t>
  </si>
  <si>
    <t>Total: Equity</t>
  </si>
  <si>
    <t>Equity</t>
  </si>
  <si>
    <t>Subscribed Capital</t>
  </si>
  <si>
    <t>Capital surplus</t>
  </si>
  <si>
    <t>Total: Earned surplus reserves</t>
  </si>
  <si>
    <t>Unappropriate Earnings/Losses</t>
  </si>
  <si>
    <t>Non-controlling interests</t>
  </si>
  <si>
    <t>29000</t>
  </si>
  <si>
    <t>29100</t>
  </si>
  <si>
    <t>29399</t>
  </si>
  <si>
    <t>29499</t>
  </si>
  <si>
    <t>28800</t>
  </si>
  <si>
    <t>L_EQT</t>
  </si>
  <si>
    <t>Total: Liabilities and equity</t>
  </si>
  <si>
    <t>L_TOT</t>
  </si>
  <si>
    <t>Liabilities and equity</t>
  </si>
  <si>
    <t>Liabiities</t>
  </si>
  <si>
    <t>Total: Liabilities</t>
  </si>
  <si>
    <t>Derived</t>
  </si>
  <si>
    <t>Debtors with Credit balance</t>
  </si>
  <si>
    <t>Why has cash reduced so much</t>
  </si>
  <si>
    <t>BGSG</t>
  </si>
  <si>
    <t>GMR</t>
  </si>
  <si>
    <t>ETAS,RBAI and MPIN</t>
  </si>
  <si>
    <t>Trade receivables break up</t>
  </si>
  <si>
    <t>Excess payments vs Lower collection</t>
  </si>
  <si>
    <t xml:space="preserve">ICR </t>
  </si>
  <si>
    <t>SDS</t>
  </si>
  <si>
    <t xml:space="preserve">Marketable securities - Schedule </t>
  </si>
  <si>
    <t>MTM (FVTPL done in March'26 and Mar'25)</t>
  </si>
  <si>
    <t>How its so low and negative sign in Assets</t>
  </si>
  <si>
    <t>SDS and AI shield</t>
  </si>
  <si>
    <t>CWIP ageing</t>
  </si>
  <si>
    <t>Personnel related provisions &lt; 1 y</t>
  </si>
  <si>
    <t>Deposits, Escrow receipt</t>
  </si>
  <si>
    <t>GMR Unbilled</t>
  </si>
  <si>
    <t>Trade Payables - old balances Split</t>
  </si>
  <si>
    <t>SDS Invesmtnet</t>
  </si>
  <si>
    <t>AI Shield Investment</t>
  </si>
  <si>
    <t>Advance Tax Payent</t>
  </si>
  <si>
    <t>Escrow relevae Johnson Controls</t>
  </si>
  <si>
    <t>Bonus Payouts</t>
  </si>
  <si>
    <t>Travel Advances</t>
  </si>
  <si>
    <t>Derivative Assets</t>
  </si>
  <si>
    <t>Lease Receivables</t>
  </si>
  <si>
    <t>Dividend Receivables</t>
  </si>
  <si>
    <t>Crediotrs - Debit Balance (3rd party)</t>
  </si>
  <si>
    <t>Accrued Interest (3rd party)</t>
  </si>
  <si>
    <t>Deposits Receivable</t>
  </si>
  <si>
    <t>Dividend Receivables (ICR)</t>
  </si>
  <si>
    <t>Debit Balances - Creditors (ICR)</t>
  </si>
  <si>
    <t>Accrued Interest (ICR)</t>
  </si>
  <si>
    <t>Debit Balances - Creditors (3rd Party)</t>
  </si>
  <si>
    <t>Prepaid Expenses</t>
  </si>
  <si>
    <t>GST receivables</t>
  </si>
  <si>
    <t>JKL Provision and Salary Payable</t>
  </si>
  <si>
    <t>Derivatives Outstanding</t>
  </si>
  <si>
    <t>Withheld and Retention amount &amp; Capital Creditors reclass</t>
  </si>
  <si>
    <t>Schedule</t>
  </si>
  <si>
    <t>Tax Provisions</t>
  </si>
  <si>
    <t>Variance</t>
  </si>
  <si>
    <t>Reasons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</si>
</sst>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MS Sans Serif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4" fillId="0" borderId="0"/>
    <xf numFmtId="0" fontId="9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</cellStyleXfs>
  <cellXfs count="86">
    <xf numFmtId="0" fontId="0" fillId="0" borderId="0" xfId="0"/>
    <xf numFmtId="0" fontId="6" fillId="0" borderId="0" xfId="0" applyFont="1"/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left" vertical="center"/>
    </xf>
    <xf numFmtId="49" fontId="5" fillId="0" borderId="5" xfId="0" applyNumberFormat="1" applyFont="1" applyBorder="1" applyAlignment="1">
      <alignment horizontal="left" vertical="center"/>
    </xf>
    <xf numFmtId="49" fontId="5" fillId="0" borderId="9" xfId="0" applyNumberFormat="1" applyFont="1" applyBorder="1" applyAlignment="1">
      <alignment horizontal="left" vertical="center"/>
    </xf>
    <xf numFmtId="49" fontId="5" fillId="0" borderId="10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2" fillId="4" borderId="0" xfId="0" applyFont="1" applyFill="1"/>
    <xf numFmtId="0" fontId="2" fillId="4" borderId="6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0" fontId="6" fillId="5" borderId="0" xfId="0" applyFont="1" applyFill="1"/>
    <xf numFmtId="0" fontId="7" fillId="5" borderId="6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left" vertical="center"/>
    </xf>
    <xf numFmtId="0" fontId="6" fillId="6" borderId="0" xfId="0" applyFont="1" applyFill="1"/>
    <xf numFmtId="0" fontId="7" fillId="6" borderId="0" xfId="0" applyFont="1" applyFill="1" applyAlignment="1">
      <alignment vertical="center"/>
    </xf>
    <xf numFmtId="0" fontId="7" fillId="6" borderId="1" xfId="0" applyFont="1" applyFill="1" applyBorder="1" applyAlignment="1">
      <alignment horizontal="left" vertical="center"/>
    </xf>
    <xf numFmtId="164" fontId="0" fillId="0" borderId="0" xfId="1" applyNumberFormat="1" applyFont="1"/>
    <xf numFmtId="49" fontId="5" fillId="0" borderId="12" xfId="0" applyNumberFormat="1" applyFont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left" vertical="center"/>
    </xf>
    <xf numFmtId="49" fontId="5" fillId="2" borderId="5" xfId="0" applyNumberFormat="1" applyFont="1" applyFill="1" applyBorder="1" applyAlignment="1">
      <alignment horizontal="left" vertical="center"/>
    </xf>
    <xf numFmtId="0" fontId="2" fillId="4" borderId="11" xfId="0" applyFont="1" applyFill="1" applyBorder="1" applyAlignment="1">
      <alignment horizontal="left" vertical="center"/>
    </xf>
    <xf numFmtId="164" fontId="0" fillId="0" borderId="2" xfId="1" applyNumberFormat="1" applyFont="1" applyBorder="1"/>
    <xf numFmtId="164" fontId="6" fillId="6" borderId="1" xfId="1" applyNumberFormat="1" applyFont="1" applyFill="1" applyBorder="1"/>
    <xf numFmtId="164" fontId="2" fillId="4" borderId="2" xfId="1" applyNumberFormat="1" applyFont="1" applyFill="1" applyBorder="1"/>
    <xf numFmtId="164" fontId="0" fillId="0" borderId="2" xfId="1" applyNumberFormat="1" applyFont="1" applyFill="1" applyBorder="1"/>
    <xf numFmtId="164" fontId="6" fillId="6" borderId="2" xfId="1" applyNumberFormat="1" applyFont="1" applyFill="1" applyBorder="1"/>
    <xf numFmtId="164" fontId="2" fillId="4" borderId="1" xfId="1" applyNumberFormat="1" applyFont="1" applyFill="1" applyBorder="1"/>
    <xf numFmtId="0" fontId="9" fillId="3" borderId="0" xfId="5" applyFill="1" applyBorder="1" applyAlignment="1" applyProtection="1">
      <alignment horizontal="right" vertical="center"/>
    </xf>
    <xf numFmtId="0" fontId="2" fillId="4" borderId="11" xfId="0" applyFont="1" applyFill="1" applyBorder="1" applyAlignment="1">
      <alignment vertical="center"/>
    </xf>
    <xf numFmtId="0" fontId="7" fillId="5" borderId="11" xfId="0" applyFont="1" applyFill="1" applyBorder="1" applyAlignment="1">
      <alignment horizontal="left" vertical="center"/>
    </xf>
    <xf numFmtId="164" fontId="6" fillId="5" borderId="9" xfId="1" applyNumberFormat="1" applyFont="1" applyFill="1" applyBorder="1"/>
    <xf numFmtId="0" fontId="5" fillId="0" borderId="0" xfId="6" applyFont="1" applyAlignment="1">
      <alignment vertical="center"/>
    </xf>
    <xf numFmtId="0" fontId="5" fillId="0" borderId="8" xfId="6" applyFont="1" applyBorder="1" applyAlignment="1">
      <alignment vertical="center"/>
    </xf>
    <xf numFmtId="0" fontId="6" fillId="0" borderId="2" xfId="0" applyFont="1" applyBorder="1"/>
    <xf numFmtId="17" fontId="2" fillId="4" borderId="4" xfId="1" applyNumberFormat="1" applyFont="1" applyFill="1" applyBorder="1" applyAlignment="1">
      <alignment horizontal="center"/>
    </xf>
    <xf numFmtId="0" fontId="2" fillId="4" borderId="11" xfId="0" applyFont="1" applyFill="1" applyBorder="1"/>
    <xf numFmtId="0" fontId="2" fillId="4" borderId="6" xfId="0" applyFont="1" applyFill="1" applyBorder="1"/>
    <xf numFmtId="17" fontId="2" fillId="4" borderId="11" xfId="1" applyNumberFormat="1" applyFont="1" applyFill="1" applyBorder="1" applyAlignment="1">
      <alignment horizontal="center"/>
    </xf>
    <xf numFmtId="17" fontId="2" fillId="4" borderId="7" xfId="1" applyNumberFormat="1" applyFont="1" applyFill="1" applyBorder="1" applyAlignment="1">
      <alignment horizontal="center"/>
    </xf>
    <xf numFmtId="0" fontId="7" fillId="5" borderId="11" xfId="0" applyFont="1" applyFill="1" applyBorder="1" applyAlignment="1">
      <alignment vertical="center"/>
    </xf>
    <xf numFmtId="164" fontId="6" fillId="5" borderId="1" xfId="1" applyNumberFormat="1" applyFont="1" applyFill="1" applyBorder="1"/>
    <xf numFmtId="0" fontId="2" fillId="4" borderId="4" xfId="0" applyFont="1" applyFill="1" applyBorder="1"/>
    <xf numFmtId="164" fontId="2" fillId="4" borderId="7" xfId="1" applyNumberFormat="1" applyFont="1" applyFill="1" applyBorder="1"/>
    <xf numFmtId="0" fontId="5" fillId="0" borderId="8" xfId="0" applyFont="1" applyBorder="1" applyAlignment="1">
      <alignment vertical="center"/>
    </xf>
    <xf numFmtId="49" fontId="5" fillId="0" borderId="0" xfId="0" applyNumberFormat="1" applyFont="1" applyAlignment="1">
      <alignment horizontal="left" vertical="center"/>
    </xf>
    <xf numFmtId="0" fontId="6" fillId="5" borderId="11" xfId="0" applyFont="1" applyFill="1" applyBorder="1"/>
    <xf numFmtId="0" fontId="6" fillId="5" borderId="6" xfId="0" applyFont="1" applyFill="1" applyBorder="1"/>
    <xf numFmtId="0" fontId="7" fillId="6" borderId="1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4" borderId="9" xfId="0" applyFont="1" applyFill="1" applyBorder="1" applyAlignment="1">
      <alignment horizontal="left" vertical="center"/>
    </xf>
    <xf numFmtId="164" fontId="2" fillId="4" borderId="9" xfId="1" applyNumberFormat="1" applyFont="1" applyFill="1" applyBorder="1"/>
    <xf numFmtId="0" fontId="2" fillId="4" borderId="1" xfId="0" applyFont="1" applyFill="1" applyBorder="1" applyAlignment="1">
      <alignment vertical="center"/>
    </xf>
    <xf numFmtId="0" fontId="10" fillId="6" borderId="0" xfId="5" applyFont="1" applyFill="1" applyBorder="1" applyAlignment="1" applyProtection="1">
      <alignment horizontal="right" vertical="center"/>
    </xf>
    <xf numFmtId="0" fontId="10" fillId="6" borderId="0" xfId="5" applyFont="1" applyFill="1" applyBorder="1" applyAlignment="1" applyProtection="1">
      <alignment vertical="center"/>
    </xf>
    <xf numFmtId="0" fontId="10" fillId="6" borderId="0" xfId="5" applyFont="1" applyFill="1" applyBorder="1" applyAlignment="1" applyProtection="1">
      <alignment horizontal="center" vertical="center"/>
    </xf>
    <xf numFmtId="17" fontId="2" fillId="4" borderId="1" xfId="1" applyNumberFormat="1" applyFont="1" applyFill="1" applyBorder="1" applyAlignment="1">
      <alignment horizontal="center"/>
    </xf>
    <xf numFmtId="164" fontId="0" fillId="0" borderId="0" xfId="0" applyNumberFormat="1"/>
    <xf numFmtId="164" fontId="0" fillId="7" borderId="2" xfId="1" applyNumberFormat="1" applyFont="1" applyFill="1" applyBorder="1"/>
    <xf numFmtId="43" fontId="0" fillId="0" borderId="0" xfId="0" applyNumberFormat="1"/>
    <xf numFmtId="43" fontId="0" fillId="0" borderId="0" xfId="1" applyFont="1"/>
    <xf numFmtId="0" fontId="0" fillId="0" borderId="0" xfId="0" applyAlignment="1">
      <alignment horizontal="left" indent="1"/>
    </xf>
    <xf numFmtId="0" fontId="5" fillId="0" borderId="0" xfId="0" applyFont="1" applyAlignment="1">
      <alignment horizontal="left" vertical="center" indent="1"/>
    </xf>
    <xf numFmtId="0" fontId="5" fillId="7" borderId="8" xfId="0" applyFont="1" applyFill="1" applyBorder="1" applyAlignment="1">
      <alignment vertical="center"/>
    </xf>
    <xf numFmtId="49" fontId="5" fillId="7" borderId="9" xfId="0" applyNumberFormat="1" applyFont="1" applyFill="1" applyBorder="1" applyAlignment="1">
      <alignment horizontal="left" vertical="center"/>
    </xf>
    <xf numFmtId="165" fontId="0" fillId="0" borderId="0" xfId="1" applyNumberFormat="1" applyFont="1"/>
    <xf numFmtId="164" fontId="0" fillId="2" borderId="2" xfId="1" applyNumberFormat="1" applyFont="1" applyFill="1" applyBorder="1"/>
    <xf numFmtId="17" fontId="2" fillId="4" borderId="0" xfId="1" applyNumberFormat="1" applyFont="1" applyFill="1" applyBorder="1" applyAlignment="1">
      <alignment horizontal="center"/>
    </xf>
    <xf numFmtId="164" fontId="0" fillId="0" borderId="0" xfId="1" applyNumberFormat="1" applyFont="1" applyBorder="1"/>
    <xf numFmtId="164" fontId="6" fillId="6" borderId="0" xfId="1" applyNumberFormat="1" applyFont="1" applyFill="1" applyBorder="1"/>
    <xf numFmtId="164" fontId="0" fillId="7" borderId="0" xfId="1" applyNumberFormat="1" applyFont="1" applyFill="1" applyBorder="1"/>
    <xf numFmtId="164" fontId="2" fillId="4" borderId="0" xfId="1" applyNumberFormat="1" applyFont="1" applyFill="1" applyBorder="1"/>
    <xf numFmtId="164" fontId="0" fillId="0" borderId="0" xfId="1" applyNumberFormat="1" applyFont="1" applyFill="1" applyBorder="1"/>
    <xf numFmtId="164" fontId="6" fillId="5" borderId="0" xfId="1" applyNumberFormat="1" applyFont="1" applyFill="1" applyBorder="1"/>
    <xf numFmtId="164" fontId="11" fillId="6" borderId="1" xfId="1" applyNumberFormat="1" applyFont="1" applyFill="1" applyBorder="1"/>
    <xf numFmtId="164" fontId="11" fillId="4" borderId="1" xfId="1" applyNumberFormat="1" applyFont="1" applyFill="1" applyBorder="1"/>
    <xf numFmtId="164" fontId="7" fillId="6" borderId="1" xfId="1" applyNumberFormat="1" applyFont="1" applyFill="1" applyBorder="1"/>
    <xf numFmtId="43" fontId="7" fillId="6" borderId="1" xfId="1" applyFont="1" applyFill="1" applyBorder="1" applyAlignment="1">
      <alignment horizontal="left" vertical="center"/>
    </xf>
    <xf numFmtId="164" fontId="6" fillId="0" borderId="0" xfId="1" applyNumberFormat="1" applyFont="1" applyFill="1" applyBorder="1"/>
    <xf numFmtId="164" fontId="2" fillId="0" borderId="0" xfId="1" applyNumberFormat="1" applyFont="1" applyFill="1" applyBorder="1"/>
    <xf numFmtId="164" fontId="0" fillId="0" borderId="0" xfId="1" applyNumberFormat="1" applyFont="1" applyFill="1"/>
  </cellXfs>
  <cellStyles count="9">
    <cellStyle name="Comma" xfId="1" builtinId="3"/>
    <cellStyle name="Comma 2" xfId="7" xr:uid="{0C965EA9-1A51-43EC-BC2F-401862C2960B}"/>
    <cellStyle name="Hyperlink" xfId="5" builtinId="8"/>
    <cellStyle name="Normal" xfId="0" builtinId="0"/>
    <cellStyle name="Normal 2 2" xfId="3" xr:uid="{869A9B49-A98D-42DC-ABCF-431A5875A7F9}"/>
    <cellStyle name="Normal 2 3" xfId="8" xr:uid="{4EBCF398-DAA6-4D9E-B198-A1ECCD248366}"/>
    <cellStyle name="Normal 6" xfId="4" xr:uid="{BF0A2940-35DC-44D9-8B5B-90786B670F37}"/>
    <cellStyle name="Normal 7" xfId="2" xr:uid="{24978ABB-460C-49B9-9ABB-BD84063BC1BB}"/>
    <cellStyle name="Standard 2_20090826_Account analysis SOL all v0.9_MASTER" xfId="6" xr:uid="{AA996917-A08A-49D4-B59F-D1527A0572B9}"/>
  </cellStyles>
  <dxfs count="0"/>
  <tableStyles count="0" defaultTableStyle="TableStyleMedium2" defaultPivotStyle="PivotStyleLight16"/>
  <colors>
    <mruColors>
      <color rgb="FFCC3399"/>
      <color rgb="FFCC0099"/>
      <color rgb="FF008080"/>
      <color rgb="FF009999"/>
      <color rgb="FFCCFFCC"/>
      <color rgb="FFFF66FF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bosch.com/dfsrb/CTG/Business_Plan/2013/Common/XXX_BP_Template_2013f.xlsm" TargetMode="External"/><Relationship Id="rId1" Type="http://schemas.openxmlformats.org/officeDocument/2006/relationships/externalLinkPath" Target="/bosch.com/dfsrb/CTG/Business_Plan/2013/Common/XXX_BP_Template_2013f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bosch.com/DfsRB/DfsIN/LOC/Kor/COR/CTG/Billing-Data/05_Reports/01_2018/02_Feb_2018/Sales%20Analysis/Sales%20Analysis%20022018.xlsx" TargetMode="External"/><Relationship Id="rId1" Type="http://schemas.openxmlformats.org/officeDocument/2006/relationships/externalLinkPath" Target="/bosch.com/DfsRB/DfsIN/LOC/Kor/COR/CTG/Billing-Data/05_Reports/01_2018/02_Feb_2018/Sales%20Analysis/Sales%20Analysis%20022018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bosch.com/DfsRB/DfsIN/LOC/Kor/COR/FIN/01_Fin/FIN1/BP/RBEI/BP_2015/701001_RBEI_FinanceData2015_V4_Final.xlsm" TargetMode="External"/><Relationship Id="rId1" Type="http://schemas.openxmlformats.org/officeDocument/2006/relationships/externalLinkPath" Target="/bosch.com/DfsRB/DfsIN/LOC/Kor/COR/FIN/01_Fin/FIN1/BP/RBEI/BP_2015/701001_RBEI_FinanceData2015_V4_Final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bosch.com/DfsRB/DfsIN/LOC/Kor/COR/CTG/01_CTG/MGB/MBR_2015/03_Mar_15/FCF_Mar_working.xlsx" TargetMode="External"/><Relationship Id="rId1" Type="http://schemas.openxmlformats.org/officeDocument/2006/relationships/externalLinkPath" Target="/bosch.com/DfsRB/DfsIN/LOC/Kor/COR/CTG/01_CTG/MGB/MBR_2015/03_Mar_15/FCF_Mar_working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bosch.com/DfsRB/DfsIN/LOC/Kor/COR/FIN/01_Fin/FIN1/BP/RBEI/BP_2014/BP_2014_Final/Vist_03'14/RBEI_701001_FiPro_June2014.xlsm" TargetMode="External"/><Relationship Id="rId1" Type="http://schemas.openxmlformats.org/officeDocument/2006/relationships/externalLinkPath" Target="/bosch.com/DfsRB/DfsIN/LOC/Kor/COR/FIN/01_Fin/FIN1/BP/RBEI/BP_2014/BP_2014_Final/Vist_03'14/RBEI_701001_FiPro_June2014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bosch.com/dfsrb/DfsIN/LOC/Kor/COR/CTG/01_CTG/Business_Plan/2015/3rdParty_BP/BSV/BSB/BSC/BSC_BP_Template_2015.xlsm" TargetMode="External"/><Relationship Id="rId1" Type="http://schemas.openxmlformats.org/officeDocument/2006/relationships/externalLinkPath" Target="/bosch.com/dfsrb/DfsIN/LOC/Kor/COR/CTG/01_CTG/Business_Plan/2015/3rdParty_BP/BSV/BSB/BSC/BSC_BP_Template_2015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BUD/03_Business%20Planning/3.10_BP2011ff/BP_Process/Copy_BP_Template_2012ff_v02_23_06_2011_03.xls" TargetMode="External"/><Relationship Id="rId1" Type="http://schemas.openxmlformats.org/officeDocument/2006/relationships/externalLinkPath" Target="/BUD/03_Business%20Planning/3.10_BP2011ff/BP_Process/Copy_BP_Template_2012ff_v02_23_06_2011_03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bosch.com/dfsrb/CTG/Business_Plan/2013/NE2/Sec_BP13_Capacity_P&amp;L_Template_v2.xlsm" TargetMode="External"/><Relationship Id="rId1" Type="http://schemas.openxmlformats.org/officeDocument/2006/relationships/externalLinkPath" Target="/bosch.com/dfsrb/CTG/Business_Plan/2013/NE2/Sec_BP13_Capacity_P&amp;L_Template_v2.xlsm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sch-my.sharepoint.com/personal/obm4kor_bosch_com/Documents/BGSW/1.%20Financials%20IFRS%202025/2026/June%202026%20closure/701001_BGSW_Q2_2026_IFS_Jun'26_Final.xlsm" TargetMode="External"/><Relationship Id="rId1" Type="http://schemas.openxmlformats.org/officeDocument/2006/relationships/externalLinkPath" Target="https://bosch-my.sharepoint.com/personal/obm4kor_bosch_com/Documents/BGSW/1.%20Financials%20IFRS%202025/2026/June%202026%20closure/701001_BGSW_Q2_2026_IFS_Jun'26_Final.xlsm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sch-my.sharepoint.com/personal/obm4kor_bosch_com/Documents/BGSW/1.%20Financials%20IFRS%202025/2026/March%202026%20closure/MBR%20reporting%20Q1%202026/701001_BGSW_Q1_2026_R3_FOP2FE07_04_2026.xlsm" TargetMode="External"/><Relationship Id="rId1" Type="http://schemas.openxmlformats.org/officeDocument/2006/relationships/externalLinkPath" Target="https://bosch-my.sharepoint.com/personal/obm4kor_bosch_com/Documents/BGSW/1.%20Financials%20IFRS%202025/2026/June%202026%20closure/701001_BGSW_Q1_2026_R3_FOP2FE07_04_2026.xlsm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OBM4KOR/Desktop/March%202026%20closure/MBR%20reporting%20Q1%202026/701001_BGSW_IFS_Q3_2025_VRR1FE06_10_2025.xlsm" TargetMode="External"/><Relationship Id="rId1" Type="http://schemas.openxmlformats.org/officeDocument/2006/relationships/externalLinkPath" Target="https://bosch-my.sharepoint.com/personal/obm4kor_bosch_com/Documents/BGSW/1.%20Financials%20IFRS%202025/2026/June%202026%20closure/March%202026%20closure/MBR%20reporting%20Q1%202026/701001_BGSW_IFS_Q3_2025_VRR1FE06_10_2025.xlsm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obm4kor_bosch_com/Documents/BGSW/1.%20Financials%20IFRS%202025/2025/Dec%202025%20signoff/701001_BGSW_YEC_2025_Final.xlsm" TargetMode="External"/><Relationship Id="rId2" Type="http://schemas.openxmlformats.org/officeDocument/2006/relationships/externalLinkPath" Target="https://bosch-my.sharepoint.com/personal/obm4kor_bosch_com/Documents/BGSW/1.%20Financials%20IFRS%202025/2025/Dec%202025%20signoff/701001_BGSW_YEC_2025_Final.xlsm" TargetMode="External"/><Relationship Id="rId1" Type="http://schemas.openxmlformats.org/officeDocument/2006/relationships/externalLinkPath" Target="/personal/obm4kor_bosch_com/Documents/BGSW/1.%20Financials%20IFRS%202025/2025/Dec%202025%20signoff/701001_BGSW_YEC_2025_Final.xlsm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sch-my.sharepoint.com/personal/obm4kor_bosch_com/Documents/BGSW/1.%20Financials%20IFRS%202025/2026/March%202026%20closure/MBR%20reporting%20Q1%202026/Cash_Flow_Statement_Mar%202026.xlsx" TargetMode="External"/><Relationship Id="rId1" Type="http://schemas.openxmlformats.org/officeDocument/2006/relationships/externalLinkPath" Target="https://bosch-my.sharepoint.com/personal/obm4kor_bosch_com/Documents/BGSW/1.%20Financials%20IFRS%202025/2026/June%202026%20closure/Cash_Flow_Statement_Mar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"/>
      <sheetName val="Guide"/>
      <sheetName val="1-PYO(Bosch)"/>
      <sheetName val="2-3rdparty "/>
      <sheetName val="3-Int.PYO"/>
      <sheetName val="4-PreInv"/>
      <sheetName val="5-TotPYO"/>
      <sheetName val="6-Budget"/>
      <sheetName val="7-Travel_Calculator"/>
      <sheetName val="A-Std_Cost"/>
      <sheetName val="B-Master_Data"/>
      <sheetName val="Capacity 2012"/>
      <sheetName val="C-MD-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7">
          <cell r="C7" t="str">
            <v>Software Services, ECU Development, Process consulting services</v>
          </cell>
        </row>
        <row r="8">
          <cell r="C8" t="str">
            <v>Software Services, ECU Development, Process consulting, Electronic Layout Design services</v>
          </cell>
        </row>
        <row r="9">
          <cell r="C9" t="str">
            <v>All services other than Process consulting</v>
          </cell>
        </row>
        <row r="10">
          <cell r="C10" t="str">
            <v>ASIC Design and Testing Services</v>
          </cell>
        </row>
        <row r="11">
          <cell r="C11" t="str">
            <v>Business Service Processes-Key Processes</v>
          </cell>
        </row>
        <row r="12">
          <cell r="C12" t="str">
            <v>Business Services Processes - Supply chain Management, Project Management Back Office &amp; Web Page Management</v>
          </cell>
        </row>
        <row r="13">
          <cell r="C13" t="str">
            <v>Data Security Partner (DSP) Support</v>
          </cell>
        </row>
        <row r="14">
          <cell r="C14" t="str">
            <v>E-Learning and Animation Services</v>
          </cell>
        </row>
        <row r="15">
          <cell r="C15" t="str">
            <v>Electronic Circuit Design Services</v>
          </cell>
        </row>
        <row r="16">
          <cell r="C16" t="str">
            <v>Electronic Layout Design services</v>
          </cell>
        </row>
        <row r="17">
          <cell r="C17" t="str">
            <v>Engineering Services</v>
          </cell>
        </row>
        <row r="18">
          <cell r="C18" t="str">
            <v>ERP - (SAP, Oracle, Microsoft)-Consulting Services</v>
          </cell>
        </row>
        <row r="19">
          <cell r="C19" t="str">
            <v>ERP - (SAP, Oracle, Microsoft)-Consulting Services, CRM</v>
          </cell>
        </row>
        <row r="20">
          <cell r="C20" t="str">
            <v>F&amp; A Services -Non Transaction Processing (Without IT) Business Service Processes (Standard)</v>
          </cell>
        </row>
        <row r="21">
          <cell r="C21" t="str">
            <v>F&amp; A Services -Transaction Processing (Without IT)</v>
          </cell>
        </row>
        <row r="22">
          <cell r="C22" t="str">
            <v>ISP Audit and Consulting</v>
          </cell>
        </row>
        <row r="23">
          <cell r="C23" t="str">
            <v>ISP Audit and Consulting Services</v>
          </cell>
        </row>
        <row r="24">
          <cell r="C24" t="str">
            <v>IT Services</v>
          </cell>
        </row>
        <row r="25">
          <cell r="C25" t="str">
            <v>Mechanical design services</v>
          </cell>
        </row>
        <row r="26">
          <cell r="C26" t="str">
            <v>Mechanical Design Services: CAD support (including licenses)</v>
          </cell>
        </row>
        <row r="27">
          <cell r="C27" t="str">
            <v>Mechanical Design: Simulation support (excluding license)</v>
          </cell>
        </row>
        <row r="28">
          <cell r="C28" t="str">
            <v>Mechanical Engineering Services</v>
          </cell>
        </row>
        <row r="29">
          <cell r="C29" t="str">
            <v>Mechanical Engineering, ITES Services</v>
          </cell>
        </row>
        <row r="30">
          <cell r="C30" t="str">
            <v>Non ERP Application Development, Support and Services</v>
          </cell>
        </row>
        <row r="31">
          <cell r="C31" t="str">
            <v>Non ERP Application Development, Support and Testing Services</v>
          </cell>
          <cell r="H31" t="str">
            <v>Offshore</v>
          </cell>
        </row>
        <row r="32">
          <cell r="C32" t="str">
            <v>Process consulting Services</v>
          </cell>
          <cell r="H32" t="str">
            <v>Onsite</v>
          </cell>
        </row>
        <row r="33">
          <cell r="C33" t="str">
            <v>Scanning and Indexing Services</v>
          </cell>
        </row>
        <row r="34">
          <cell r="C34" t="str">
            <v>Shared services- Accounting  - Europe and Australia</v>
          </cell>
        </row>
        <row r="35">
          <cell r="C35" t="str">
            <v>Shared services- Accounting - Japan</v>
          </cell>
        </row>
        <row r="36">
          <cell r="C36" t="str">
            <v>Shared services- Accounting - North America</v>
          </cell>
        </row>
        <row r="37">
          <cell r="C37" t="str">
            <v>Translation, Documentation, and Language-Based Services</v>
          </cell>
        </row>
        <row r="38">
          <cell r="C38" t="str">
            <v>Translation, Documentation, elearning &amp; Animation Services</v>
          </cell>
        </row>
        <row r="39">
          <cell r="C39" t="str">
            <v>UAM and IT Partner Services</v>
          </cell>
        </row>
        <row r="40">
          <cell r="C40" t="str">
            <v>Web Page Management, Scanning and Indexing Services</v>
          </cell>
        </row>
        <row r="41">
          <cell r="O41" t="str">
            <v>China</v>
          </cell>
        </row>
        <row r="42">
          <cell r="O42" t="str">
            <v>Austria</v>
          </cell>
        </row>
        <row r="43">
          <cell r="O43" t="str">
            <v>Australia</v>
          </cell>
        </row>
        <row r="44">
          <cell r="O44" t="str">
            <v>France</v>
          </cell>
        </row>
        <row r="45">
          <cell r="O45" t="str">
            <v>Germany</v>
          </cell>
        </row>
        <row r="46">
          <cell r="O46" t="str">
            <v>India</v>
          </cell>
        </row>
        <row r="47">
          <cell r="O47" t="str">
            <v>Italy</v>
          </cell>
        </row>
        <row r="48">
          <cell r="O48" t="str">
            <v>Japan</v>
          </cell>
        </row>
        <row r="49">
          <cell r="O49" t="str">
            <v>Korea</v>
          </cell>
        </row>
        <row r="50">
          <cell r="O50" t="str">
            <v>Malaysia</v>
          </cell>
        </row>
        <row r="51">
          <cell r="O51" t="str">
            <v>Netherlands</v>
          </cell>
        </row>
        <row r="52">
          <cell r="O52" t="str">
            <v>Portugal</v>
          </cell>
        </row>
        <row r="53">
          <cell r="O53" t="str">
            <v>Belgium</v>
          </cell>
        </row>
        <row r="54">
          <cell r="O54" t="str">
            <v>Qatar</v>
          </cell>
        </row>
        <row r="55">
          <cell r="O55" t="str">
            <v>Switzerland</v>
          </cell>
        </row>
        <row r="56">
          <cell r="O56" t="str">
            <v>UK</v>
          </cell>
        </row>
        <row r="57">
          <cell r="O57" t="str">
            <v>UAE</v>
          </cell>
        </row>
        <row r="58">
          <cell r="O58" t="str">
            <v>Spain</v>
          </cell>
        </row>
        <row r="59">
          <cell r="O59" t="str">
            <v>Others</v>
          </cell>
        </row>
        <row r="74">
          <cell r="U74" t="str">
            <v>AA</v>
          </cell>
        </row>
        <row r="75">
          <cell r="U75" t="str">
            <v>ADIT-G</v>
          </cell>
        </row>
        <row r="76">
          <cell r="U76" t="str">
            <v>ADIT-J</v>
          </cell>
        </row>
        <row r="77">
          <cell r="U77" t="str">
            <v>AE</v>
          </cell>
        </row>
        <row r="78">
          <cell r="U78" t="str">
            <v>BEG</v>
          </cell>
        </row>
        <row r="79">
          <cell r="U79" t="str">
            <v>BSH</v>
          </cell>
        </row>
        <row r="80">
          <cell r="U80" t="str">
            <v>CC</v>
          </cell>
        </row>
        <row r="81">
          <cell r="U81" t="str">
            <v>CI</v>
          </cell>
        </row>
        <row r="82">
          <cell r="U82" t="str">
            <v>CM</v>
          </cell>
        </row>
        <row r="83">
          <cell r="U83" t="str">
            <v>Corp</v>
          </cell>
        </row>
        <row r="84">
          <cell r="U84" t="str">
            <v>DC</v>
          </cell>
        </row>
        <row r="85">
          <cell r="U85" t="str">
            <v>DGS</v>
          </cell>
        </row>
        <row r="86">
          <cell r="U86" t="str">
            <v>DS</v>
          </cell>
        </row>
        <row r="87">
          <cell r="U87" t="str">
            <v>ED</v>
          </cell>
        </row>
        <row r="88">
          <cell r="U88" t="str">
            <v>ETAS</v>
          </cell>
        </row>
        <row r="89">
          <cell r="U89" t="str">
            <v>GS</v>
          </cell>
        </row>
        <row r="90">
          <cell r="U90" t="str">
            <v>PA</v>
          </cell>
        </row>
        <row r="91">
          <cell r="U91" t="str">
            <v>PT</v>
          </cell>
        </row>
        <row r="92">
          <cell r="U92" t="str">
            <v>SG</v>
          </cell>
        </row>
        <row r="93">
          <cell r="U93" t="str">
            <v>ST</v>
          </cell>
        </row>
        <row r="94">
          <cell r="U94" t="str">
            <v>TT</v>
          </cell>
        </row>
        <row r="95">
          <cell r="U95" t="str">
            <v>ZFLS</v>
          </cell>
        </row>
        <row r="96">
          <cell r="U96" t="str">
            <v>SBL</v>
          </cell>
        </row>
        <row r="97">
          <cell r="U97" t="str">
            <v>RBNA</v>
          </cell>
        </row>
        <row r="98">
          <cell r="U98" t="str">
            <v>RBCD</v>
          </cell>
        </row>
        <row r="99">
          <cell r="U99" t="str">
            <v>RBIN</v>
          </cell>
        </row>
        <row r="100">
          <cell r="U100" t="str">
            <v>RBKR</v>
          </cell>
        </row>
        <row r="101">
          <cell r="U101" t="str">
            <v>Plants</v>
          </cell>
        </row>
        <row r="102">
          <cell r="U102" t="str">
            <v>Internal</v>
          </cell>
        </row>
        <row r="103">
          <cell r="U103" t="str">
            <v>Others</v>
          </cell>
        </row>
        <row r="106">
          <cell r="X106" t="str">
            <v>SONY India Private Limited</v>
          </cell>
        </row>
        <row r="107">
          <cell r="X107" t="str">
            <v>Philips Electronic India Ltd</v>
          </cell>
        </row>
        <row r="108">
          <cell r="X108" t="str">
            <v>Daimler India Commercial Vehicles Pvt Lt</v>
          </cell>
        </row>
        <row r="109">
          <cell r="X109" t="str">
            <v>Robert Bosch Technical and Business Solutions GmbH</v>
          </cell>
        </row>
        <row r="110">
          <cell r="X110" t="str">
            <v>SOFT AND INFORMATICS COMPANY NV</v>
          </cell>
        </row>
        <row r="111">
          <cell r="X111" t="str">
            <v>Avaya GmbH &amp; Co KG</v>
          </cell>
        </row>
        <row r="112">
          <cell r="X112" t="str">
            <v>Mercedes-Benz Research and Development</v>
          </cell>
        </row>
        <row r="113">
          <cell r="X113" t="str">
            <v>MindTree Limited</v>
          </cell>
        </row>
        <row r="114">
          <cell r="X114" t="str">
            <v>Force Motors Limited</v>
          </cell>
        </row>
        <row r="115">
          <cell r="X115" t="str">
            <v>Guhring India</v>
          </cell>
        </row>
        <row r="116">
          <cell r="X116" t="str">
            <v>Al Khalij Commercial Bank</v>
          </cell>
        </row>
        <row r="117">
          <cell r="X117" t="str">
            <v>Texmo Industries</v>
          </cell>
        </row>
        <row r="118">
          <cell r="X118" t="str">
            <v>KERN-LIEBERS INDIA PVT LTD</v>
          </cell>
        </row>
        <row r="119">
          <cell r="X119" t="str">
            <v>Bisnode Deutschland Holding GmbH</v>
          </cell>
        </row>
        <row r="120">
          <cell r="X120" t="str">
            <v>TATA MOTORS LIMITED</v>
          </cell>
        </row>
        <row r="121">
          <cell r="X121" t="str">
            <v>Revathi Equipment Limited</v>
          </cell>
        </row>
        <row r="122">
          <cell r="X122" t="str">
            <v>Infineon Technologies India Pvt. Ltd</v>
          </cell>
        </row>
        <row r="123">
          <cell r="X123" t="str">
            <v>Microfinish Group Of Companies</v>
          </cell>
        </row>
        <row r="124">
          <cell r="X124" t="str">
            <v>Robert Bosch Ltd.</v>
          </cell>
        </row>
        <row r="125">
          <cell r="X125" t="str">
            <v>ROOTS INDUSTRIES INDIA LIMITED</v>
          </cell>
        </row>
        <row r="126">
          <cell r="X126" t="str">
            <v>Sri Padmabalaji Steels (P) Ltd</v>
          </cell>
        </row>
        <row r="127">
          <cell r="X127" t="str">
            <v>SKOL Breweries Limited</v>
          </cell>
        </row>
        <row r="128">
          <cell r="X128" t="str">
            <v>Safran Engineering Services</v>
          </cell>
        </row>
        <row r="129">
          <cell r="X129" t="str">
            <v>Lakshmi Electrical Control Systems Ltd.,</v>
          </cell>
        </row>
        <row r="130">
          <cell r="X130" t="str">
            <v>HCI Solutions Pvt Ltd.</v>
          </cell>
        </row>
        <row r="131">
          <cell r="X131" t="str">
            <v>John Deere India Private Ltd</v>
          </cell>
        </row>
        <row r="132">
          <cell r="X132" t="str">
            <v>New Customer</v>
          </cell>
        </row>
      </sheetData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samt"/>
      <sheetName val="Vlookup"/>
      <sheetName val="2018"/>
      <sheetName val="TER"/>
      <sheetName val="Third Party"/>
      <sheetName val="Sales 2018"/>
      <sheetName val="TER Cat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ogbuch"/>
      <sheetName val="Sprache_Language"/>
      <sheetName val="Basic_Data"/>
      <sheetName val="Basisdaten"/>
      <sheetName val="Anlagespiegel-Ist"/>
      <sheetName val="Bilanz_GuV"/>
      <sheetName val="Termine"/>
      <sheetName val="Deadlines"/>
      <sheetName val="Anlagespiegel_F_Assets"/>
      <sheetName val="Bilanz_Balance_Sheet"/>
      <sheetName val="GuV_Income_Statement"/>
      <sheetName val="Pooling"/>
      <sheetName val="EBIT_Bruecke_EBIT_bridge"/>
      <sheetName val="Pruefreport_Checkreport"/>
      <sheetName val="Verbalteil_Verbal_Comments"/>
      <sheetName val="Kapitalflussplan_Capital_Flow"/>
      <sheetName val="Analyse_Analysis"/>
      <sheetName val="ZF Data"/>
      <sheetName val="Waehrung_Currency"/>
      <sheetName val="Finanz.Kosten_Finance costs"/>
      <sheetName val="Gesellschaften_Entities"/>
    </sheetNames>
    <sheetDataSet>
      <sheetData sheetId="0"/>
      <sheetData sheetId="1">
        <row r="3">
          <cell r="B3">
            <v>2</v>
          </cell>
        </row>
      </sheetData>
      <sheetData sheetId="2">
        <row r="10">
          <cell r="C10">
            <v>701001</v>
          </cell>
        </row>
      </sheetData>
      <sheetData sheetId="3">
        <row r="10">
          <cell r="C10">
            <v>0</v>
          </cell>
        </row>
      </sheetData>
      <sheetData sheetId="4"/>
      <sheetData sheetId="5">
        <row r="26">
          <cell r="F26">
            <v>5191902</v>
          </cell>
        </row>
      </sheetData>
      <sheetData sheetId="6"/>
      <sheetData sheetId="7"/>
      <sheetData sheetId="8">
        <row r="20">
          <cell r="H20" t="str">
            <v>RBEI</v>
          </cell>
        </row>
        <row r="37">
          <cell r="E37">
            <v>0</v>
          </cell>
          <cell r="F37">
            <v>0</v>
          </cell>
        </row>
        <row r="50">
          <cell r="E50">
            <v>0</v>
          </cell>
          <cell r="F50">
            <v>0</v>
          </cell>
        </row>
        <row r="66">
          <cell r="E66">
            <v>0</v>
          </cell>
          <cell r="F66">
            <v>0</v>
          </cell>
        </row>
        <row r="79">
          <cell r="E79">
            <v>0</v>
          </cell>
          <cell r="F79">
            <v>0</v>
          </cell>
        </row>
        <row r="90">
          <cell r="E90">
            <v>0</v>
          </cell>
          <cell r="F90">
            <v>0</v>
          </cell>
        </row>
        <row r="92">
          <cell r="E92">
            <v>0</v>
          </cell>
          <cell r="F92">
            <v>0</v>
          </cell>
        </row>
        <row r="103">
          <cell r="E103">
            <v>0</v>
          </cell>
          <cell r="F103">
            <v>0</v>
          </cell>
        </row>
        <row r="105">
          <cell r="E105">
            <v>0</v>
          </cell>
          <cell r="F105">
            <v>0</v>
          </cell>
        </row>
        <row r="116">
          <cell r="E116">
            <v>0</v>
          </cell>
          <cell r="F116">
            <v>0</v>
          </cell>
        </row>
        <row r="118">
          <cell r="E118">
            <v>0</v>
          </cell>
          <cell r="F118">
            <v>0</v>
          </cell>
        </row>
      </sheetData>
      <sheetData sheetId="9"/>
      <sheetData sheetId="10">
        <row r="23">
          <cell r="F23">
            <v>1173.3979999999999</v>
          </cell>
          <cell r="G23">
            <v>2053.3798646617402</v>
          </cell>
        </row>
        <row r="24">
          <cell r="G24">
            <v>28576.748598538401</v>
          </cell>
        </row>
        <row r="25">
          <cell r="G25">
            <v>0</v>
          </cell>
        </row>
        <row r="27">
          <cell r="G27">
            <v>5343.1291065178302</v>
          </cell>
        </row>
        <row r="28">
          <cell r="G28">
            <v>0</v>
          </cell>
        </row>
        <row r="30">
          <cell r="G30">
            <v>2289.9124742219301</v>
          </cell>
        </row>
        <row r="31">
          <cell r="G31">
            <v>14757.213722763499</v>
          </cell>
        </row>
        <row r="32">
          <cell r="G32">
            <v>508.86943871598299</v>
          </cell>
        </row>
        <row r="33">
          <cell r="G33">
            <v>1017.73887743197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1526.6083161479501</v>
          </cell>
        </row>
        <row r="37">
          <cell r="G37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0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0</v>
          </cell>
        </row>
        <row r="49">
          <cell r="G49">
            <v>0</v>
          </cell>
        </row>
        <row r="50">
          <cell r="G50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60">
          <cell r="G60">
            <v>0</v>
          </cell>
        </row>
        <row r="61">
          <cell r="G61">
            <v>1258.23</v>
          </cell>
        </row>
        <row r="62">
          <cell r="G62">
            <v>0</v>
          </cell>
        </row>
        <row r="64">
          <cell r="G64">
            <v>0</v>
          </cell>
        </row>
        <row r="68">
          <cell r="G68">
            <v>10083.279395626099</v>
          </cell>
        </row>
        <row r="69">
          <cell r="G69">
            <v>3009.2629999999999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7">
          <cell r="F77">
            <v>0</v>
          </cell>
          <cell r="G77">
            <v>0</v>
          </cell>
        </row>
        <row r="78">
          <cell r="F78">
            <v>-1667.3</v>
          </cell>
          <cell r="G78">
            <v>0</v>
          </cell>
        </row>
        <row r="81">
          <cell r="G81">
            <v>3061.71</v>
          </cell>
        </row>
        <row r="85">
          <cell r="F85">
            <v>3605.4319999999998</v>
          </cell>
          <cell r="G85">
            <v>3402</v>
          </cell>
        </row>
        <row r="86">
          <cell r="F86">
            <v>1546.6389999999999</v>
          </cell>
          <cell r="G86">
            <v>1322.3132533779601</v>
          </cell>
        </row>
        <row r="87">
          <cell r="F87">
            <v>0</v>
          </cell>
        </row>
      </sheetData>
      <sheetData sheetId="11"/>
      <sheetData sheetId="12"/>
      <sheetData sheetId="13"/>
      <sheetData sheetId="14"/>
      <sheetData sheetId="15"/>
      <sheetData sheetId="16">
        <row r="105">
          <cell r="E105">
            <v>0</v>
          </cell>
        </row>
      </sheetData>
      <sheetData sheetId="17"/>
      <sheetData sheetId="18"/>
      <sheetData sheetId="19"/>
      <sheetData sheetId="20">
        <row r="1">
          <cell r="E1" t="str">
            <v>Version 1.0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Projections"/>
      <sheetName val="BS"/>
      <sheetName val="Cash_Flow"/>
      <sheetName val="Bilanz_Balance_Sheet-CF05"/>
      <sheetName val="Bilanz_Balance_Sheet_BP-15"/>
      <sheetName val="2013"/>
      <sheetName val="Jan14"/>
      <sheetName val="Feb14"/>
      <sheetName val="Mar14"/>
      <sheetName val="Apr14"/>
      <sheetName val="May14"/>
      <sheetName val="Jun14"/>
      <sheetName val="Jul14"/>
      <sheetName val="Aug14"/>
      <sheetName val="Sep14"/>
    </sheetNames>
    <sheetDataSet>
      <sheetData sheetId="0"/>
      <sheetData sheetId="1"/>
      <sheetData sheetId="2"/>
      <sheetData sheetId="3"/>
      <sheetData sheetId="4">
        <row r="24">
          <cell r="G24">
            <v>3002.27</v>
          </cell>
          <cell r="H24">
            <v>5191.902</v>
          </cell>
          <cell r="R24">
            <v>0</v>
          </cell>
          <cell r="S24">
            <v>0</v>
          </cell>
        </row>
        <row r="25">
          <cell r="R25">
            <v>0</v>
          </cell>
          <cell r="S25">
            <v>0</v>
          </cell>
        </row>
        <row r="26">
          <cell r="G26">
            <v>0</v>
          </cell>
          <cell r="H26">
            <v>705.95699999999999</v>
          </cell>
          <cell r="R26">
            <v>0</v>
          </cell>
          <cell r="S26">
            <v>0</v>
          </cell>
        </row>
        <row r="29">
          <cell r="R29">
            <v>0</v>
          </cell>
          <cell r="S29">
            <v>0</v>
          </cell>
        </row>
        <row r="30">
          <cell r="G30">
            <v>172.00899999999999</v>
          </cell>
          <cell r="H30">
            <v>183.63800000000001</v>
          </cell>
          <cell r="R30">
            <v>626.94299999999998</v>
          </cell>
          <cell r="S30">
            <v>420.98399999999998</v>
          </cell>
        </row>
        <row r="31">
          <cell r="G31">
            <v>12.063000000000001</v>
          </cell>
          <cell r="H31">
            <v>9.5229999999999997</v>
          </cell>
          <cell r="R31">
            <v>0</v>
          </cell>
          <cell r="S31">
            <v>0</v>
          </cell>
        </row>
        <row r="33">
          <cell r="R33">
            <v>0</v>
          </cell>
          <cell r="S33">
            <v>0</v>
          </cell>
        </row>
        <row r="34">
          <cell r="R34"/>
          <cell r="S34"/>
          <cell r="T34"/>
          <cell r="U34">
            <v>0</v>
          </cell>
        </row>
        <row r="35">
          <cell r="G35">
            <v>0</v>
          </cell>
          <cell r="H35">
            <v>0</v>
          </cell>
          <cell r="R35">
            <v>0</v>
          </cell>
          <cell r="S35">
            <v>0</v>
          </cell>
        </row>
        <row r="36">
          <cell r="G36"/>
          <cell r="H36"/>
          <cell r="I36"/>
          <cell r="J36">
            <v>0</v>
          </cell>
          <cell r="R36"/>
          <cell r="S36"/>
          <cell r="T36"/>
          <cell r="U36">
            <v>0</v>
          </cell>
        </row>
        <row r="37">
          <cell r="G37">
            <v>0</v>
          </cell>
          <cell r="H37">
            <v>0</v>
          </cell>
          <cell r="R37">
            <v>881.52099999999996</v>
          </cell>
          <cell r="S37">
            <v>1184.575</v>
          </cell>
        </row>
        <row r="38">
          <cell r="G38"/>
          <cell r="H38"/>
          <cell r="I38"/>
          <cell r="J38">
            <v>0</v>
          </cell>
          <cell r="R38"/>
          <cell r="S38"/>
          <cell r="T38"/>
          <cell r="U38">
            <v>0</v>
          </cell>
        </row>
        <row r="39">
          <cell r="G39">
            <v>3688.3760000000002</v>
          </cell>
          <cell r="H39">
            <v>3407.7288100000001</v>
          </cell>
          <cell r="R39">
            <v>0</v>
          </cell>
          <cell r="S39">
            <v>0</v>
          </cell>
        </row>
        <row r="40">
          <cell r="G40"/>
          <cell r="H40"/>
          <cell r="I40"/>
          <cell r="J40">
            <v>0</v>
          </cell>
        </row>
        <row r="41">
          <cell r="G41">
            <v>0</v>
          </cell>
          <cell r="H41">
            <v>0</v>
          </cell>
          <cell r="R41">
            <v>42.012999999999998</v>
          </cell>
          <cell r="S41">
            <v>104.486</v>
          </cell>
        </row>
        <row r="42">
          <cell r="G42">
            <v>51.835999999999999</v>
          </cell>
          <cell r="H42">
            <v>153.82599999999999</v>
          </cell>
        </row>
        <row r="43">
          <cell r="R43">
            <v>0.18</v>
          </cell>
          <cell r="S43">
            <v>1.2989999999999999</v>
          </cell>
        </row>
        <row r="44">
          <cell r="G44">
            <v>1512.441</v>
          </cell>
          <cell r="H44">
            <v>1974.2829999999999</v>
          </cell>
          <cell r="R44">
            <v>0</v>
          </cell>
          <cell r="S44">
            <v>1422.412</v>
          </cell>
        </row>
        <row r="45">
          <cell r="G45">
            <v>0</v>
          </cell>
          <cell r="H45">
            <v>0</v>
          </cell>
          <cell r="R45">
            <v>0</v>
          </cell>
          <cell r="S45">
            <v>0</v>
          </cell>
        </row>
        <row r="46">
          <cell r="R46">
            <v>0</v>
          </cell>
          <cell r="S46">
            <v>0</v>
          </cell>
        </row>
        <row r="47">
          <cell r="G47">
            <v>30.712</v>
          </cell>
          <cell r="H47">
            <v>102.73099999999999</v>
          </cell>
          <cell r="R47">
            <v>2324.152</v>
          </cell>
          <cell r="S47">
            <v>1553.473</v>
          </cell>
        </row>
        <row r="48">
          <cell r="R48">
            <v>0</v>
          </cell>
          <cell r="S48">
            <v>57.012</v>
          </cell>
        </row>
        <row r="49">
          <cell r="G49">
            <v>72.364000000000004</v>
          </cell>
          <cell r="H49">
            <v>0</v>
          </cell>
        </row>
        <row r="51">
          <cell r="R51">
            <v>138.33099999999999</v>
          </cell>
          <cell r="S51">
            <v>66.388000000000005</v>
          </cell>
        </row>
        <row r="52">
          <cell r="R52">
            <v>722.32399999999996</v>
          </cell>
          <cell r="S52">
            <v>259.56299999999999</v>
          </cell>
        </row>
        <row r="53">
          <cell r="R53">
            <v>0</v>
          </cell>
          <cell r="S53">
            <v>0</v>
          </cell>
        </row>
        <row r="54">
          <cell r="R54">
            <v>74.209000000000003</v>
          </cell>
          <cell r="S54">
            <v>456.01400000000001</v>
          </cell>
        </row>
        <row r="57">
          <cell r="R57">
            <v>0</v>
          </cell>
          <cell r="S57">
            <v>0</v>
          </cell>
        </row>
        <row r="58">
          <cell r="R58">
            <v>43.84</v>
          </cell>
          <cell r="S58">
            <v>41.597999999999999</v>
          </cell>
        </row>
        <row r="59">
          <cell r="R59">
            <v>0</v>
          </cell>
          <cell r="S59">
            <v>0</v>
          </cell>
        </row>
        <row r="60">
          <cell r="R60">
            <v>458.49163679999998</v>
          </cell>
          <cell r="S60">
            <v>504.68616559999998</v>
          </cell>
        </row>
        <row r="61">
          <cell r="R61">
            <v>7236.7411099999999</v>
          </cell>
          <cell r="S61">
            <v>9991.76361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ogbuch"/>
      <sheetName val="Sprache_Language"/>
      <sheetName val="Basic_Data"/>
      <sheetName val="Basisdaten"/>
      <sheetName val="Anlagespiegel_2"/>
      <sheetName val="Bilanz_GuV_2"/>
      <sheetName val="Anlagespiegel_1"/>
      <sheetName val="Bilanz_GuV_1"/>
      <sheetName val="Termine"/>
      <sheetName val="Deadlines"/>
      <sheetName val="Anlagespiegel_F_Assets"/>
      <sheetName val="Bilanz_Balance_Sheet"/>
      <sheetName val="GuV_Income_Statement"/>
      <sheetName val="Pruefreport_Checkreport"/>
      <sheetName val="Pooling"/>
      <sheetName val="EBIT_Bruecke_EBIT_bridge"/>
      <sheetName val="Verbalteil_Verbal_Comments"/>
      <sheetName val="Kapitalflussplan_Capital_Flow"/>
      <sheetName val="Analyse_Analysis"/>
      <sheetName val="ZF Data"/>
      <sheetName val="Waehrung_Currency"/>
      <sheetName val="Finanz.Kosten_Finance costs"/>
      <sheetName val="Gesellschaften_Entities"/>
    </sheetNames>
    <sheetDataSet>
      <sheetData sheetId="0"/>
      <sheetData sheetId="1">
        <row r="3">
          <cell r="B3">
            <v>2</v>
          </cell>
        </row>
      </sheetData>
      <sheetData sheetId="2">
        <row r="10">
          <cell r="C10" t="str">
            <v>701001</v>
          </cell>
        </row>
      </sheetData>
      <sheetData sheetId="3">
        <row r="10">
          <cell r="C10" t="str">
            <v>010001</v>
          </cell>
        </row>
      </sheetData>
      <sheetData sheetId="4"/>
      <sheetData sheetId="5">
        <row r="26">
          <cell r="F26">
            <v>3002270</v>
          </cell>
        </row>
      </sheetData>
      <sheetData sheetId="6"/>
      <sheetData sheetId="7">
        <row r="1">
          <cell r="C1" t="str">
            <v>FS001RBW</v>
          </cell>
        </row>
      </sheetData>
      <sheetData sheetId="8"/>
      <sheetData sheetId="9"/>
      <sheetData sheetId="10">
        <row r="20">
          <cell r="I20" t="str">
            <v>RBEI</v>
          </cell>
        </row>
        <row r="29">
          <cell r="F29">
            <v>306.39999999999998</v>
          </cell>
          <cell r="G29">
            <v>371.89299999999997</v>
          </cell>
        </row>
        <row r="30">
          <cell r="F30">
            <v>0</v>
          </cell>
          <cell r="G30">
            <v>0</v>
          </cell>
        </row>
        <row r="32">
          <cell r="F32">
            <v>3069.68</v>
          </cell>
          <cell r="G32">
            <v>3634.7820000000002</v>
          </cell>
        </row>
        <row r="34">
          <cell r="F34">
            <v>0</v>
          </cell>
          <cell r="G34">
            <v>0</v>
          </cell>
        </row>
        <row r="39">
          <cell r="F39">
            <v>0</v>
          </cell>
          <cell r="G39">
            <v>0</v>
          </cell>
        </row>
        <row r="42">
          <cell r="F42">
            <v>0</v>
          </cell>
          <cell r="G42">
            <v>0</v>
          </cell>
        </row>
        <row r="43">
          <cell r="F43">
            <v>0</v>
          </cell>
          <cell r="G43">
            <v>0</v>
          </cell>
        </row>
        <row r="45">
          <cell r="F45">
            <v>0</v>
          </cell>
          <cell r="G45">
            <v>0</v>
          </cell>
        </row>
        <row r="47">
          <cell r="F47">
            <v>0</v>
          </cell>
          <cell r="G47">
            <v>0</v>
          </cell>
        </row>
        <row r="48">
          <cell r="I48">
            <v>0</v>
          </cell>
        </row>
        <row r="52">
          <cell r="F52">
            <v>0</v>
          </cell>
          <cell r="G52">
            <v>0</v>
          </cell>
        </row>
        <row r="55">
          <cell r="F55">
            <v>268.70400000000001</v>
          </cell>
          <cell r="G55">
            <v>222.11500000000001</v>
          </cell>
        </row>
        <row r="56">
          <cell r="F56">
            <v>0</v>
          </cell>
          <cell r="G56">
            <v>0</v>
          </cell>
        </row>
        <row r="59">
          <cell r="F59">
            <v>1134.7</v>
          </cell>
          <cell r="G59">
            <v>979.34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3">
          <cell r="F63">
            <v>0</v>
          </cell>
          <cell r="G63">
            <v>0</v>
          </cell>
        </row>
        <row r="64">
          <cell r="I64">
            <v>0</v>
          </cell>
        </row>
        <row r="68">
          <cell r="F68">
            <v>0</v>
          </cell>
          <cell r="G68">
            <v>0</v>
          </cell>
        </row>
        <row r="71">
          <cell r="F71">
            <v>203.21100000000001</v>
          </cell>
          <cell r="G71">
            <v>186.309</v>
          </cell>
        </row>
        <row r="72">
          <cell r="F72">
            <v>0</v>
          </cell>
          <cell r="G72">
            <v>0</v>
          </cell>
        </row>
        <row r="74">
          <cell r="F74">
            <v>566.279</v>
          </cell>
          <cell r="G74">
            <v>672.82500000000005</v>
          </cell>
        </row>
        <row r="76">
          <cell r="F76">
            <v>0</v>
          </cell>
          <cell r="G76">
            <v>0</v>
          </cell>
        </row>
        <row r="77">
          <cell r="I77">
            <v>0</v>
          </cell>
        </row>
        <row r="81">
          <cell r="F81">
            <v>0</v>
          </cell>
          <cell r="G81">
            <v>0</v>
          </cell>
        </row>
        <row r="84">
          <cell r="F84">
            <v>0</v>
          </cell>
          <cell r="G84">
            <v>0</v>
          </cell>
        </row>
        <row r="85">
          <cell r="F85">
            <v>0</v>
          </cell>
          <cell r="G85">
            <v>0</v>
          </cell>
        </row>
        <row r="87">
          <cell r="F87">
            <v>3.319</v>
          </cell>
          <cell r="G87">
            <v>14.331</v>
          </cell>
        </row>
        <row r="89">
          <cell r="F89">
            <v>0</v>
          </cell>
          <cell r="G89">
            <v>0</v>
          </cell>
        </row>
        <row r="90">
          <cell r="I90">
            <v>0</v>
          </cell>
        </row>
        <row r="94">
          <cell r="F94">
            <v>0</v>
          </cell>
          <cell r="G94">
            <v>0</v>
          </cell>
        </row>
        <row r="97">
          <cell r="F97">
            <v>0</v>
          </cell>
          <cell r="G97">
            <v>0</v>
          </cell>
        </row>
        <row r="98">
          <cell r="F98">
            <v>0</v>
          </cell>
          <cell r="G98">
            <v>0</v>
          </cell>
        </row>
        <row r="100">
          <cell r="F100">
            <v>0</v>
          </cell>
          <cell r="G100">
            <v>0</v>
          </cell>
        </row>
        <row r="102">
          <cell r="F102">
            <v>0</v>
          </cell>
          <cell r="G102">
            <v>0</v>
          </cell>
        </row>
        <row r="103">
          <cell r="I103">
            <v>0</v>
          </cell>
        </row>
        <row r="107">
          <cell r="F107">
            <v>0</v>
          </cell>
          <cell r="G107">
            <v>0</v>
          </cell>
        </row>
        <row r="110">
          <cell r="F110">
            <v>0</v>
          </cell>
          <cell r="G110">
            <v>0</v>
          </cell>
        </row>
        <row r="111">
          <cell r="F111">
            <v>0</v>
          </cell>
          <cell r="G111">
            <v>0</v>
          </cell>
        </row>
        <row r="113">
          <cell r="F113">
            <v>0</v>
          </cell>
          <cell r="G113">
            <v>0</v>
          </cell>
        </row>
        <row r="115">
          <cell r="F115">
            <v>0</v>
          </cell>
          <cell r="G115">
            <v>0</v>
          </cell>
        </row>
        <row r="116">
          <cell r="I116">
            <v>0</v>
          </cell>
        </row>
        <row r="120">
          <cell r="F120">
            <v>0</v>
          </cell>
          <cell r="G120">
            <v>0</v>
          </cell>
        </row>
      </sheetData>
      <sheetData sheetId="11"/>
      <sheetData sheetId="12">
        <row r="23">
          <cell r="F23">
            <v>872.61500000000001</v>
          </cell>
          <cell r="G23">
            <v>1173.3979999999999</v>
          </cell>
        </row>
        <row r="24">
          <cell r="F24">
            <v>21825.141</v>
          </cell>
          <cell r="G24">
            <v>26540.076000000001</v>
          </cell>
        </row>
        <row r="27">
          <cell r="F27">
            <v>4018.7159999999999</v>
          </cell>
          <cell r="G27">
            <v>4726.6379999999999</v>
          </cell>
        </row>
        <row r="30">
          <cell r="F30">
            <v>1716.403</v>
          </cell>
          <cell r="G30">
            <v>3256.7359999999999</v>
          </cell>
        </row>
        <row r="31">
          <cell r="F31">
            <v>11354.835999999999</v>
          </cell>
          <cell r="G31">
            <v>12894.544</v>
          </cell>
        </row>
        <row r="32">
          <cell r="F32">
            <v>332.00099999999998</v>
          </cell>
          <cell r="G32">
            <v>413.02199999999999</v>
          </cell>
        </row>
        <row r="33">
          <cell r="F33">
            <v>774.58100000000002</v>
          </cell>
          <cell r="G33">
            <v>163.48099999999999</v>
          </cell>
        </row>
        <row r="34">
          <cell r="F34">
            <v>0</v>
          </cell>
          <cell r="G34">
            <v>828.17200000000003</v>
          </cell>
        </row>
        <row r="35">
          <cell r="F35">
            <v>575.66</v>
          </cell>
          <cell r="G35">
            <v>980.375</v>
          </cell>
        </row>
        <row r="36">
          <cell r="F36">
            <v>1289.8489999999999</v>
          </cell>
          <cell r="G36">
            <v>1269.502</v>
          </cell>
        </row>
        <row r="38">
          <cell r="G38">
            <v>0</v>
          </cell>
        </row>
        <row r="41">
          <cell r="F41">
            <v>0</v>
          </cell>
          <cell r="G41">
            <v>0</v>
          </cell>
        </row>
        <row r="42">
          <cell r="F42">
            <v>0</v>
          </cell>
          <cell r="G42">
            <v>0</v>
          </cell>
        </row>
        <row r="44">
          <cell r="F44">
            <v>108.983</v>
          </cell>
          <cell r="G44">
            <v>55.466999999999999</v>
          </cell>
        </row>
        <row r="45">
          <cell r="F45">
            <v>0</v>
          </cell>
          <cell r="G45">
            <v>0</v>
          </cell>
        </row>
        <row r="47">
          <cell r="F47">
            <v>0</v>
          </cell>
          <cell r="G47">
            <v>0</v>
          </cell>
        </row>
        <row r="48">
          <cell r="F48">
            <v>34.055</v>
          </cell>
          <cell r="G48">
            <v>31.492999999999999</v>
          </cell>
        </row>
        <row r="50">
          <cell r="F50">
            <v>1350.9190000000001</v>
          </cell>
          <cell r="G50">
            <v>907.72400000000005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502.6</v>
          </cell>
          <cell r="G62">
            <v>1546.6389999999999</v>
          </cell>
        </row>
        <row r="63">
          <cell r="F63">
            <v>632.68200000000002</v>
          </cell>
          <cell r="G63">
            <v>104.4905</v>
          </cell>
        </row>
        <row r="65">
          <cell r="F65">
            <v>0</v>
          </cell>
          <cell r="G65">
            <v>0</v>
          </cell>
        </row>
        <row r="69">
          <cell r="F69">
            <v>5873.0693959499995</v>
          </cell>
          <cell r="G69">
            <v>7739.0727467999995</v>
          </cell>
        </row>
        <row r="70">
          <cell r="F70">
            <v>2206.2190000000001</v>
          </cell>
          <cell r="G70">
            <v>0</v>
          </cell>
        </row>
        <row r="71">
          <cell r="F71">
            <v>0</v>
          </cell>
          <cell r="G71">
            <v>0</v>
          </cell>
        </row>
        <row r="72">
          <cell r="F72">
            <v>0</v>
          </cell>
          <cell r="G72">
            <v>0</v>
          </cell>
        </row>
        <row r="73">
          <cell r="F73">
            <v>-7.9530000000000003</v>
          </cell>
          <cell r="G73">
            <v>71.08</v>
          </cell>
        </row>
        <row r="74">
          <cell r="F74">
            <v>2.5803508499999999</v>
          </cell>
          <cell r="G74">
            <v>-24.8858712</v>
          </cell>
        </row>
        <row r="75">
          <cell r="F75">
            <v>0</v>
          </cell>
          <cell r="G75">
            <v>-2.2416</v>
          </cell>
        </row>
        <row r="76">
          <cell r="F76">
            <v>2.3283111549865508E-14</v>
          </cell>
          <cell r="G76">
            <v>0</v>
          </cell>
        </row>
        <row r="78">
          <cell r="F78">
            <v>0</v>
          </cell>
          <cell r="G78">
            <v>0</v>
          </cell>
        </row>
        <row r="79">
          <cell r="F79">
            <v>0</v>
          </cell>
          <cell r="G79">
            <v>-1667.3</v>
          </cell>
        </row>
        <row r="82">
          <cell r="G82">
            <v>0</v>
          </cell>
        </row>
        <row r="86">
          <cell r="F86">
            <v>3164.14</v>
          </cell>
          <cell r="G86">
            <v>3605.4319999999998</v>
          </cell>
        </row>
        <row r="87">
          <cell r="F87">
            <v>502.6</v>
          </cell>
          <cell r="G87">
            <v>1546.6389999999999</v>
          </cell>
        </row>
        <row r="88">
          <cell r="F88">
            <v>0</v>
          </cell>
        </row>
      </sheetData>
      <sheetData sheetId="13"/>
      <sheetData sheetId="14"/>
      <sheetData sheetId="15"/>
      <sheetData sheetId="16"/>
      <sheetData sheetId="17"/>
      <sheetData sheetId="18">
        <row r="105">
          <cell r="E105">
            <v>0</v>
          </cell>
        </row>
      </sheetData>
      <sheetData sheetId="19"/>
      <sheetData sheetId="20"/>
      <sheetData sheetId="21"/>
      <sheetData sheetId="22">
        <row r="1">
          <cell r="E1" t="str">
            <v>Version 1.0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venue_&amp;_Capacity"/>
      <sheetName val="3rdParty Budget"/>
      <sheetName val="Travel_Calculator"/>
      <sheetName val="Std_Cost"/>
      <sheetName val="B-Master_Data"/>
    </sheetNames>
    <sheetDataSet>
      <sheetData sheetId="0"/>
      <sheetData sheetId="1"/>
      <sheetData sheetId="2"/>
      <sheetData sheetId="3"/>
      <sheetData sheetId="4">
        <row r="7">
          <cell r="C7" t="str">
            <v>Software Services, ECU Development, Process consulting services, Mechanical design services</v>
          </cell>
        </row>
        <row r="74">
          <cell r="U74" t="str">
            <v>China</v>
          </cell>
        </row>
        <row r="75">
          <cell r="U75" t="str">
            <v>Europe (Non Germany)</v>
          </cell>
        </row>
        <row r="76">
          <cell r="U76" t="str">
            <v>Germany</v>
          </cell>
        </row>
        <row r="77">
          <cell r="U77" t="str">
            <v>India</v>
          </cell>
        </row>
        <row r="78">
          <cell r="U78" t="str">
            <v>Japan</v>
          </cell>
        </row>
        <row r="79">
          <cell r="U79" t="str">
            <v>Others</v>
          </cell>
        </row>
        <row r="80">
          <cell r="U80" t="str">
            <v>South Korea</v>
          </cell>
        </row>
        <row r="81">
          <cell r="U81" t="str">
            <v>USA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"/>
      <sheetName val="1-BPYO"/>
      <sheetName val="2-GRev"/>
      <sheetName val="3-IPYO-Pr"/>
      <sheetName val="4-TotPYO"/>
      <sheetName val="5-ValClass"/>
      <sheetName val="6-PerCapa"/>
      <sheetName val="7-Indicators"/>
      <sheetName val="8-IPYO-Req"/>
      <sheetName val="9-Budget"/>
      <sheetName val="10-Std_Cost"/>
      <sheetName val="11-MD-1"/>
      <sheetName val="12-MD-2"/>
      <sheetName val="13-MD-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"/>
      <sheetName val="Guide"/>
      <sheetName val="Capacity (Section)"/>
      <sheetName val="Engagement Structure (Section)"/>
      <sheetName val="PYO_Rev"/>
      <sheetName val="Budget_2013"/>
      <sheetName val="Profitability Analysis"/>
      <sheetName val="Budget_2014"/>
      <sheetName val="Travel_Calculator"/>
      <sheetName val="A-Std_Cost"/>
      <sheetName val="Sec_P&amp;L"/>
      <sheetName val="B-Master_Dat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35">
          <cell r="AB135" t="str">
            <v>Business Visa</v>
          </cell>
        </row>
        <row r="136">
          <cell r="AB136" t="str">
            <v>Work permit</v>
          </cell>
        </row>
        <row r="137">
          <cell r="AB137" t="str">
            <v>Inland travel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  <sheetName val="Cntl"/>
      <sheetName val="Mapping IC"/>
      <sheetName val="Mapping FX"/>
      <sheetName val="SAP Input-BS_K_Assets"/>
      <sheetName val="SAP Input-BS_K_Liabilities"/>
      <sheetName val="SAP Input-BS"/>
      <sheetName val="SAP Input-A.FA1"/>
      <sheetName val="SAP Input-A.FA2"/>
      <sheetName val="SAP Input-A.FA3"/>
      <sheetName val="SAP Input-A.FA4"/>
      <sheetName val="SAP Input-A.FA5"/>
      <sheetName val="SAP Input-A.FA6"/>
      <sheetName val="SAP Input-A.FA7"/>
      <sheetName val="SAP Input-A.FA8"/>
      <sheetName val="SAP Input-A.FA9"/>
      <sheetName val="SAP Input-A.FAman"/>
      <sheetName val="SAP Input-Inv"/>
      <sheetName val="SAP Input-Inv_K"/>
      <sheetName val="SAP Input-IS_K"/>
      <sheetName val="SAP Input-IS"/>
      <sheetName val="SAP Input-Lease"/>
      <sheetName val="SAP Input-Lease_NF7"/>
      <sheetName val="SAP Input-L.Pr"/>
      <sheetName val="A.1"/>
      <sheetName val="A.1_MS"/>
      <sheetName val="A.1_K"/>
      <sheetName val="A.1_N"/>
      <sheetName val="A.Inv"/>
      <sheetName val="A.Inv_K"/>
      <sheetName val="A.FA"/>
      <sheetName val="A.FA_K"/>
      <sheetName val="A.Imt"/>
      <sheetName val="L.1"/>
      <sheetName val="L.1_FL"/>
      <sheetName val="L.1_K_Eq"/>
      <sheetName val="L.1_N"/>
      <sheetName val="L.Pr"/>
      <sheetName val="L.Eq"/>
      <sheetName val="B.Cons_A"/>
      <sheetName val="B.Cons_L"/>
      <sheetName val="B.Cons"/>
      <sheetName val="CF"/>
      <sheetName val="CF_State"/>
      <sheetName val="IS"/>
      <sheetName val="IS_K"/>
      <sheetName val="IS_N"/>
      <sheetName val="IS_B"/>
      <sheetName val="IS_Imt1"/>
      <sheetName val="IS_Tax"/>
      <sheetName val="B_State"/>
      <sheetName val="I_State"/>
      <sheetName val="N.T1"/>
      <sheetName val="N.T2"/>
      <sheetName val="N.T3"/>
      <sheetName val="N.T4_1,2"/>
      <sheetName val="N.T4_3,4"/>
      <sheetName val="N.T4_5"/>
      <sheetName val="N.T6"/>
      <sheetName val="N.T7"/>
      <sheetName val="N.T9"/>
      <sheetName val="N.T_IFS"/>
      <sheetName val="N.T9_K"/>
      <sheetName val="N.SNC"/>
      <sheetName val="N.S"/>
      <sheetName val="N.BA"/>
      <sheetName val="N.ICE"/>
      <sheetName val="N.BL"/>
      <sheetName val="N.CA_CL"/>
      <sheetName val="N.RP_B"/>
      <sheetName val="N.RP_N"/>
      <sheetName val="N.IS"/>
      <sheetName val="N.F1_N"/>
      <sheetName val="N.F1_P"/>
      <sheetName val="N.F2_1"/>
      <sheetName val="N.F2_2"/>
      <sheetName val="N.F3"/>
      <sheetName val="N.F4"/>
      <sheetName val="N.F4_K"/>
      <sheetName val="N.F5"/>
      <sheetName val="N.F6_1"/>
      <sheetName val="N.F6_2"/>
      <sheetName val="N.F7"/>
      <sheetName val="N.F8"/>
      <sheetName val="N.HB1"/>
      <sheetName val="N.MBR1"/>
      <sheetName val="N.V"/>
      <sheetName val="Check"/>
      <sheetName val="Softchecks"/>
      <sheetName val="K_N_B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A5" t="str">
            <v>17003</v>
          </cell>
          <cell r="B5" t="str">
            <v>RB-C-17003</v>
          </cell>
          <cell r="C5" t="str">
            <v/>
          </cell>
          <cell r="D5" t="str">
            <v>Total 17003 Cash on hand</v>
          </cell>
          <cell r="E5">
            <v>13</v>
          </cell>
          <cell r="F5">
            <v>2301</v>
          </cell>
        </row>
        <row r="6">
          <cell r="A6" t="str">
            <v>17005</v>
          </cell>
          <cell r="B6" t="str">
            <v>RB-C-17005</v>
          </cell>
          <cell r="C6" t="str">
            <v/>
          </cell>
          <cell r="D6" t="str">
            <v>Total 17005 Bank balances &lt; 90 days</v>
          </cell>
          <cell r="E6">
            <v>12020967174.35</v>
          </cell>
          <cell r="F6">
            <v>7544558484.1000004</v>
          </cell>
        </row>
        <row r="7">
          <cell r="A7" t="str">
            <v>AC_CH</v>
          </cell>
          <cell r="B7" t="str">
            <v>RB-C-AC_CH</v>
          </cell>
          <cell r="C7" t="str">
            <v/>
          </cell>
          <cell r="D7" t="str">
            <v>Total AC_CH Total: Cash and cash equivalents</v>
          </cell>
          <cell r="E7">
            <v>12020967187.35</v>
          </cell>
          <cell r="F7">
            <v>7544560785.1000004</v>
          </cell>
        </row>
        <row r="8">
          <cell r="A8" t="str">
            <v>1800C</v>
          </cell>
          <cell r="B8" t="str">
            <v>RB-C-1800C</v>
          </cell>
          <cell r="C8" t="str">
            <v/>
          </cell>
          <cell r="D8" t="str">
            <v>Total Trade receiv. Thrd parties,etc Nom. val</v>
          </cell>
          <cell r="E8">
            <v>2024085813.01</v>
          </cell>
          <cell r="F8">
            <v>3580184123.8000002</v>
          </cell>
        </row>
        <row r="9">
          <cell r="A9" t="str">
            <v>1800D</v>
          </cell>
          <cell r="B9" t="str">
            <v>RB-C-1800D</v>
          </cell>
          <cell r="C9" t="str">
            <v/>
          </cell>
          <cell r="D9" t="str">
            <v>Total Trade receiv. Thrd part.,etc Allow.,</v>
          </cell>
          <cell r="E9">
            <v>-352668817.02999997</v>
          </cell>
          <cell r="F9">
            <v>-247826012.03</v>
          </cell>
        </row>
        <row r="10">
          <cell r="A10" t="str">
            <v>18000</v>
          </cell>
          <cell r="B10" t="str">
            <v>RB-C-18000</v>
          </cell>
          <cell r="C10" t="str">
            <v/>
          </cell>
          <cell r="D10" t="str">
            <v>18000 Trade receivables - 3rd, B-c, B-f</v>
          </cell>
          <cell r="E10">
            <v>1671416995.98</v>
          </cell>
          <cell r="F10">
            <v>3332358111.77</v>
          </cell>
        </row>
        <row r="11">
          <cell r="A11" t="str">
            <v>1802I</v>
          </cell>
          <cell r="B11" t="str">
            <v>RB-C-1802I</v>
          </cell>
          <cell r="C11" t="str">
            <v/>
          </cell>
          <cell r="D11" t="str">
            <v>Trade receivables - K - Intrasegment</v>
          </cell>
          <cell r="E11">
            <v>11403007567.219999</v>
          </cell>
          <cell r="F11">
            <v>13889445176.01</v>
          </cell>
        </row>
        <row r="12">
          <cell r="A12" t="str">
            <v>1802S</v>
          </cell>
          <cell r="B12" t="str">
            <v>RB-C-1802S</v>
          </cell>
          <cell r="C12" t="str">
            <v/>
          </cell>
          <cell r="D12" t="str">
            <v>Trade receivables - K - Intersegment</v>
          </cell>
          <cell r="E12">
            <v>941251984.17999995</v>
          </cell>
          <cell r="F12">
            <v>1495069095.5899999</v>
          </cell>
        </row>
        <row r="13">
          <cell r="A13" t="str">
            <v>18020</v>
          </cell>
          <cell r="B13" t="str">
            <v>RB-C-18020</v>
          </cell>
          <cell r="C13" t="str">
            <v/>
          </cell>
          <cell r="D13" t="str">
            <v>18020 Trade receivables - K</v>
          </cell>
          <cell r="E13">
            <v>12685400534.4</v>
          </cell>
          <cell r="F13">
            <v>15384514271.6</v>
          </cell>
        </row>
        <row r="14">
          <cell r="A14" t="str">
            <v>1804C</v>
          </cell>
          <cell r="B14" t="str">
            <v>RB-C-1804C</v>
          </cell>
          <cell r="C14" t="str">
            <v/>
          </cell>
          <cell r="D14" t="str">
            <v>Total Trade receivables N Nominal value</v>
          </cell>
          <cell r="E14">
            <v>209060825.80000001</v>
          </cell>
          <cell r="F14">
            <v>258502008.03999999</v>
          </cell>
        </row>
        <row r="15">
          <cell r="A15" t="str">
            <v>18040</v>
          </cell>
          <cell r="B15" t="str">
            <v>RB-C-18040</v>
          </cell>
          <cell r="C15" t="str">
            <v/>
          </cell>
          <cell r="D15" t="str">
            <v>18040 Trade receivables - N</v>
          </cell>
          <cell r="E15">
            <v>209060825.80000001</v>
          </cell>
          <cell r="F15">
            <v>258502008.03999999</v>
          </cell>
        </row>
        <row r="16">
          <cell r="A16" t="str">
            <v>AC_AR</v>
          </cell>
          <cell r="B16" t="str">
            <v>RB-C-AC_AR</v>
          </cell>
          <cell r="C16" t="str">
            <v/>
          </cell>
          <cell r="D16" t="str">
            <v>Total AC_AR Total: Trade receivables</v>
          </cell>
          <cell r="E16">
            <v>14565878356.18</v>
          </cell>
          <cell r="F16">
            <v>18975374391.41</v>
          </cell>
        </row>
        <row r="17">
          <cell r="A17" t="str">
            <v>17057</v>
          </cell>
          <cell r="B17" t="str">
            <v>RB-C-17057</v>
          </cell>
          <cell r="C17" t="str">
            <v/>
          </cell>
          <cell r="D17" t="str">
            <v>17057 Money market funds - FVPL</v>
          </cell>
          <cell r="E17">
            <v>11608765263</v>
          </cell>
          <cell r="F17">
            <v>11390965220.23</v>
          </cell>
        </row>
        <row r="18">
          <cell r="A18" t="str">
            <v>17066</v>
          </cell>
          <cell r="B18" t="str">
            <v>RB-C-17066</v>
          </cell>
          <cell r="C18" t="str">
            <v/>
          </cell>
          <cell r="D18" t="str">
            <v>17066 Marketable sec. &lt; 1 year - FVOCI wR</v>
          </cell>
          <cell r="E18">
            <v>0.08</v>
          </cell>
          <cell r="F18">
            <v>0</v>
          </cell>
        </row>
        <row r="19">
          <cell r="A19" t="str">
            <v>17099</v>
          </cell>
          <cell r="B19" t="str">
            <v>RB-C-17099</v>
          </cell>
          <cell r="C19" t="str">
            <v/>
          </cell>
          <cell r="D19" t="str">
            <v>17099 Total: Marketable securities =&lt; 1 year</v>
          </cell>
          <cell r="E19">
            <v>11608765263.08</v>
          </cell>
          <cell r="F19">
            <v>11390965220.23</v>
          </cell>
        </row>
        <row r="20">
          <cell r="A20" t="str">
            <v>1825C</v>
          </cell>
          <cell r="B20" t="str">
            <v>RB-C-1825C</v>
          </cell>
          <cell r="C20" t="str">
            <v/>
          </cell>
          <cell r="D20" t="str">
            <v/>
          </cell>
          <cell r="E20">
            <v>13644013.35</v>
          </cell>
          <cell r="F20">
            <v>12664584.130000001</v>
          </cell>
        </row>
        <row r="21">
          <cell r="A21" t="str">
            <v>1825D</v>
          </cell>
          <cell r="B21" t="str">
            <v>RB-C-1825D</v>
          </cell>
          <cell r="C21" t="str">
            <v/>
          </cell>
          <cell r="D21" t="str">
            <v/>
          </cell>
          <cell r="E21">
            <v>-128608</v>
          </cell>
          <cell r="F21">
            <v>-126645.84</v>
          </cell>
        </row>
        <row r="22">
          <cell r="A22" t="str">
            <v>18215</v>
          </cell>
          <cell r="B22" t="str">
            <v>RB-C-18215</v>
          </cell>
          <cell r="C22" t="str">
            <v/>
          </cell>
          <cell r="D22" t="str">
            <v>18215 Loans =&lt; 1 year - employees</v>
          </cell>
          <cell r="E22">
            <v>13515405.35</v>
          </cell>
          <cell r="F22">
            <v>12537938.289999999</v>
          </cell>
        </row>
        <row r="23">
          <cell r="A23" t="str">
            <v>18220</v>
          </cell>
          <cell r="B23" t="str">
            <v>RB-C-18220</v>
          </cell>
          <cell r="C23" t="str">
            <v/>
          </cell>
          <cell r="D23" t="str">
            <v>18220 Loans =&lt; 1 year - K</v>
          </cell>
          <cell r="E23">
            <v>6147292000</v>
          </cell>
          <cell r="F23">
            <v>5263902000</v>
          </cell>
        </row>
        <row r="24">
          <cell r="A24" t="str">
            <v>18299</v>
          </cell>
          <cell r="B24" t="str">
            <v>RB-C-18299</v>
          </cell>
          <cell r="C24" t="str">
            <v/>
          </cell>
          <cell r="D24" t="str">
            <v>18299 Total: Loans =&lt; 1 year</v>
          </cell>
          <cell r="E24">
            <v>6160807405.3500004</v>
          </cell>
          <cell r="F24">
            <v>5276439938.29</v>
          </cell>
        </row>
        <row r="25">
          <cell r="A25" t="str">
            <v>1860C</v>
          </cell>
          <cell r="B25" t="str">
            <v>RB-C-1860C</v>
          </cell>
          <cell r="C25" t="str">
            <v/>
          </cell>
          <cell r="D25" t="str">
            <v/>
          </cell>
          <cell r="E25">
            <v>395964868.69999999</v>
          </cell>
          <cell r="F25">
            <v>384618619.61000001</v>
          </cell>
        </row>
        <row r="26">
          <cell r="A26" t="str">
            <v>1860D</v>
          </cell>
          <cell r="B26" t="str">
            <v>RB-C-1860D</v>
          </cell>
          <cell r="C26" t="str">
            <v/>
          </cell>
          <cell r="D26" t="str">
            <v/>
          </cell>
          <cell r="E26">
            <v>0.01</v>
          </cell>
          <cell r="F26">
            <v>0.01</v>
          </cell>
        </row>
        <row r="27">
          <cell r="A27" t="str">
            <v>18600</v>
          </cell>
          <cell r="B27" t="str">
            <v>RB-C-18600</v>
          </cell>
          <cell r="C27" t="str">
            <v/>
          </cell>
          <cell r="D27" t="str">
            <v>18600 Receiv. f. fin. lease (lessor) =&lt; 1y</v>
          </cell>
          <cell r="E27">
            <v>395964868.70999998</v>
          </cell>
          <cell r="F27">
            <v>384618619.62</v>
          </cell>
        </row>
        <row r="28">
          <cell r="A28" t="str">
            <v>18516</v>
          </cell>
          <cell r="B28" t="str">
            <v>RB-C-18516</v>
          </cell>
          <cell r="C28" t="str">
            <v/>
          </cell>
          <cell r="D28" t="str">
            <v>18516 Fin. receivab. board members, empl =&lt;1y</v>
          </cell>
          <cell r="E28">
            <v>575111255.13</v>
          </cell>
          <cell r="F28">
            <v>230751899.13999999</v>
          </cell>
        </row>
        <row r="29">
          <cell r="A29" t="str">
            <v>1861G</v>
          </cell>
          <cell r="B29" t="str">
            <v>RB-C-1861G</v>
          </cell>
          <cell r="C29" t="str">
            <v/>
          </cell>
          <cell r="D29" t="str">
            <v/>
          </cell>
          <cell r="E29">
            <v>537609915.80999994</v>
          </cell>
          <cell r="F29">
            <v>9004888412.0499992</v>
          </cell>
        </row>
        <row r="30">
          <cell r="A30" t="str">
            <v>1861H</v>
          </cell>
          <cell r="B30" t="str">
            <v>RB-C-1861H</v>
          </cell>
          <cell r="C30" t="str">
            <v/>
          </cell>
          <cell r="D30" t="str">
            <v/>
          </cell>
          <cell r="E30">
            <v>-4938423</v>
          </cell>
          <cell r="F30">
            <v>-2388911.25</v>
          </cell>
        </row>
        <row r="31">
          <cell r="A31" t="str">
            <v>18616</v>
          </cell>
          <cell r="B31" t="str">
            <v>RB-C-18616</v>
          </cell>
          <cell r="C31" t="str">
            <v/>
          </cell>
          <cell r="D31" t="str">
            <v>18616 Other financial receivables&lt;1 year, 3rd</v>
          </cell>
          <cell r="E31">
            <v>532671492.81</v>
          </cell>
          <cell r="F31">
            <v>9002499500.7999992</v>
          </cell>
        </row>
        <row r="32">
          <cell r="A32" t="str">
            <v>18624</v>
          </cell>
          <cell r="B32" t="str">
            <v>RB-C-18624</v>
          </cell>
          <cell r="C32" t="str">
            <v/>
          </cell>
          <cell r="D32" t="str">
            <v>18624 Creditors with debit balances K</v>
          </cell>
          <cell r="E32">
            <v>58775</v>
          </cell>
          <cell r="F32">
            <v>21800084.620000001</v>
          </cell>
        </row>
        <row r="33">
          <cell r="A33" t="str">
            <v>18625</v>
          </cell>
          <cell r="B33" t="str">
            <v>RB-C-18625</v>
          </cell>
          <cell r="C33" t="str">
            <v/>
          </cell>
          <cell r="D33" t="str">
            <v>18625 Receivables accrued interest - K</v>
          </cell>
          <cell r="E33">
            <v>1721239.38</v>
          </cell>
          <cell r="F33">
            <v>462724.78</v>
          </cell>
        </row>
        <row r="34">
          <cell r="A34" t="str">
            <v>AC_FA</v>
          </cell>
          <cell r="B34" t="str">
            <v>RB-C-AC_FA</v>
          </cell>
          <cell r="C34" t="str">
            <v/>
          </cell>
          <cell r="D34" t="str">
            <v>Total AC_FA Total: Oth current financ. assets</v>
          </cell>
          <cell r="E34">
            <v>19275100299.459999</v>
          </cell>
          <cell r="F34">
            <v>26309269815.27</v>
          </cell>
        </row>
        <row r="35">
          <cell r="A35" t="str">
            <v>18510</v>
          </cell>
          <cell r="B35" t="str">
            <v>RB-C-18510</v>
          </cell>
          <cell r="C35" t="str">
            <v/>
          </cell>
          <cell r="D35" t="str">
            <v>18510 Income tax receivables &lt; 1 y</v>
          </cell>
          <cell r="E35">
            <v>0</v>
          </cell>
          <cell r="F35">
            <v>42030079.710000001</v>
          </cell>
        </row>
        <row r="36">
          <cell r="A36" t="str">
            <v>AC_IT</v>
          </cell>
          <cell r="B36" t="str">
            <v>RB-C-AC_IT</v>
          </cell>
          <cell r="C36" t="str">
            <v/>
          </cell>
          <cell r="D36" t="str">
            <v>Total AC_IT Total: Income tax receivables &lt;1y</v>
          </cell>
          <cell r="E36">
            <v>0</v>
          </cell>
          <cell r="F36">
            <v>42030079.710000001</v>
          </cell>
        </row>
        <row r="37">
          <cell r="A37" t="str">
            <v>18400</v>
          </cell>
          <cell r="B37" t="str">
            <v>RB-C-18400</v>
          </cell>
          <cell r="C37" t="str">
            <v/>
          </cell>
          <cell r="D37" t="str">
            <v>18400 Prepaid expenses - Th.p.,N, B-a,B-c,B-f</v>
          </cell>
          <cell r="E37">
            <v>219275331</v>
          </cell>
          <cell r="F37">
            <v>533452119.25</v>
          </cell>
        </row>
        <row r="38">
          <cell r="A38" t="str">
            <v>1851A</v>
          </cell>
          <cell r="B38" t="str">
            <v>RB-C-1851A</v>
          </cell>
          <cell r="C38" t="str">
            <v/>
          </cell>
          <cell r="D38" t="str">
            <v/>
          </cell>
          <cell r="E38">
            <v>-3869529065.0599999</v>
          </cell>
          <cell r="F38">
            <v>-4080200462.48</v>
          </cell>
        </row>
        <row r="39">
          <cell r="A39" t="str">
            <v>185DE</v>
          </cell>
          <cell r="B39" t="str">
            <v>RB-C-185DE</v>
          </cell>
          <cell r="C39" t="str">
            <v/>
          </cell>
          <cell r="D39" t="str">
            <v/>
          </cell>
          <cell r="E39">
            <v>22174844.620000001</v>
          </cell>
          <cell r="F39">
            <v>28739224.109999999</v>
          </cell>
        </row>
        <row r="40">
          <cell r="A40" t="str">
            <v>185FR</v>
          </cell>
          <cell r="B40" t="str">
            <v>RB-C-185FR</v>
          </cell>
          <cell r="C40" t="str">
            <v/>
          </cell>
          <cell r="D40" t="str">
            <v/>
          </cell>
          <cell r="E40">
            <v>4070520.75</v>
          </cell>
          <cell r="F40">
            <v>5711542.96</v>
          </cell>
        </row>
        <row r="41">
          <cell r="A41" t="str">
            <v>185GB</v>
          </cell>
          <cell r="B41" t="str">
            <v>RB-C-185GB</v>
          </cell>
          <cell r="C41" t="str">
            <v/>
          </cell>
          <cell r="D41" t="str">
            <v/>
          </cell>
          <cell r="E41">
            <v>3610388.17</v>
          </cell>
          <cell r="F41">
            <v>3724193.37</v>
          </cell>
        </row>
        <row r="42">
          <cell r="A42" t="str">
            <v>185IN</v>
          </cell>
          <cell r="B42" t="str">
            <v>RB-C-185IN</v>
          </cell>
          <cell r="C42" t="str">
            <v/>
          </cell>
          <cell r="D42" t="str">
            <v/>
          </cell>
          <cell r="E42">
            <v>3842010934.1999998</v>
          </cell>
          <cell r="F42">
            <v>4044476929.29</v>
          </cell>
        </row>
        <row r="43">
          <cell r="A43" t="str">
            <v>185RU</v>
          </cell>
          <cell r="B43" t="str">
            <v>RB-C-185RU</v>
          </cell>
          <cell r="C43" t="str">
            <v/>
          </cell>
          <cell r="D43" t="str">
            <v/>
          </cell>
          <cell r="E43">
            <v>1272766.1200000001</v>
          </cell>
          <cell r="F43">
            <v>1272766.1200000001</v>
          </cell>
        </row>
        <row r="44">
          <cell r="A44" t="str">
            <v>18511</v>
          </cell>
          <cell r="B44" t="str">
            <v>RB-C-18511</v>
          </cell>
          <cell r="C44" t="str">
            <v/>
          </cell>
          <cell r="D44" t="str">
            <v>18511 Other tax receivables &lt; 1 y</v>
          </cell>
          <cell r="E44">
            <v>3610388.8</v>
          </cell>
          <cell r="F44">
            <v>3724193.37</v>
          </cell>
        </row>
        <row r="45">
          <cell r="A45" t="str">
            <v>18515</v>
          </cell>
          <cell r="B45" t="str">
            <v>RB-C-18515</v>
          </cell>
          <cell r="C45" t="str">
            <v/>
          </cell>
          <cell r="D45" t="str">
            <v>18515 Receivables f. board members, employees</v>
          </cell>
          <cell r="E45">
            <v>3305554.41</v>
          </cell>
          <cell r="F45">
            <v>8138</v>
          </cell>
        </row>
        <row r="46">
          <cell r="A46" t="str">
            <v>18610</v>
          </cell>
          <cell r="B46" t="str">
            <v>RB-C-18610</v>
          </cell>
          <cell r="C46" t="str">
            <v/>
          </cell>
          <cell r="D46" t="str">
            <v>18610 Sundry other receivables &lt; 1 y - 3rd, B</v>
          </cell>
          <cell r="E46">
            <v>132174636.81999999</v>
          </cell>
          <cell r="F46">
            <v>146224421.59</v>
          </cell>
        </row>
        <row r="47">
          <cell r="A47" t="str">
            <v>18618</v>
          </cell>
          <cell r="B47" t="str">
            <v>RB-C-18618</v>
          </cell>
          <cell r="C47" t="str">
            <v/>
          </cell>
          <cell r="D47" t="str">
            <v>18618 Down paym made for oth services-3rd,B-c</v>
          </cell>
          <cell r="E47">
            <v>71307984.150000006</v>
          </cell>
          <cell r="F47">
            <v>136277234.06999999</v>
          </cell>
        </row>
        <row r="48">
          <cell r="A48" t="str">
            <v>AC_OA</v>
          </cell>
          <cell r="B48" t="str">
            <v>RB-C-AC_OA</v>
          </cell>
          <cell r="C48" t="str">
            <v/>
          </cell>
          <cell r="D48" t="str">
            <v>Total AC_OA Total: Other current assets</v>
          </cell>
          <cell r="E48">
            <v>429673895.18000001</v>
          </cell>
          <cell r="F48">
            <v>819686106.27999997</v>
          </cell>
        </row>
        <row r="49">
          <cell r="A49" t="str">
            <v>1901G</v>
          </cell>
          <cell r="B49" t="str">
            <v>RB-C-1901G</v>
          </cell>
          <cell r="C49" t="str">
            <v/>
          </cell>
          <cell r="D49" t="str">
            <v>Total: Business Gross Value Merchandise</v>
          </cell>
          <cell r="E49">
            <v>43757873.740000002</v>
          </cell>
          <cell r="F49">
            <v>106866481.8</v>
          </cell>
        </row>
        <row r="50">
          <cell r="A50" t="str">
            <v>1901C</v>
          </cell>
          <cell r="B50" t="str">
            <v>RB-C-1901C</v>
          </cell>
          <cell r="C50" t="str">
            <v/>
          </cell>
          <cell r="D50" t="str">
            <v>Total: IFRS gross value Merchandise</v>
          </cell>
          <cell r="E50">
            <v>43757873.740000002</v>
          </cell>
          <cell r="F50">
            <v>101930103.3</v>
          </cell>
        </row>
        <row r="51">
          <cell r="A51" t="str">
            <v>19019</v>
          </cell>
          <cell r="B51" t="str">
            <v>RB-C-19019</v>
          </cell>
          <cell r="C51" t="str">
            <v/>
          </cell>
          <cell r="D51" t="str">
            <v>19019 Total: IFRS BS Value Merchandise</v>
          </cell>
          <cell r="E51">
            <v>43757873.740000002</v>
          </cell>
          <cell r="F51">
            <v>50492525.289999999</v>
          </cell>
        </row>
        <row r="52">
          <cell r="A52" t="str">
            <v>1903G</v>
          </cell>
          <cell r="B52" t="str">
            <v>RB-C-1903G</v>
          </cell>
          <cell r="C52" t="str">
            <v/>
          </cell>
          <cell r="D52" t="str">
            <v>Total: Business Gross Value Work in progress</v>
          </cell>
          <cell r="E52">
            <v>22989257.800000001</v>
          </cell>
          <cell r="F52">
            <v>73801443.730000004</v>
          </cell>
        </row>
        <row r="53">
          <cell r="A53" t="str">
            <v>1903C</v>
          </cell>
          <cell r="B53" t="str">
            <v>RB-C-1903C</v>
          </cell>
          <cell r="C53" t="str">
            <v/>
          </cell>
          <cell r="D53" t="str">
            <v>Total: IFRS gross value Work in progress</v>
          </cell>
          <cell r="E53">
            <v>22989257.800000001</v>
          </cell>
          <cell r="F53">
            <v>73801443.730000004</v>
          </cell>
        </row>
        <row r="54">
          <cell r="A54" t="str">
            <v>19039</v>
          </cell>
          <cell r="B54" t="str">
            <v>RB-C-19039</v>
          </cell>
          <cell r="C54" t="str">
            <v/>
          </cell>
          <cell r="D54" t="str">
            <v>19039 Total: IFRS BS Value Work in progress</v>
          </cell>
          <cell r="E54">
            <v>22989257.800000001</v>
          </cell>
          <cell r="F54">
            <v>73801443.730000004</v>
          </cell>
        </row>
        <row r="55">
          <cell r="A55" t="str">
            <v>1904G</v>
          </cell>
          <cell r="B55" t="str">
            <v>RB-C-1904G</v>
          </cell>
          <cell r="C55" t="str">
            <v/>
          </cell>
          <cell r="D55" t="str">
            <v>Total: Business Gross Value Raw materials and</v>
          </cell>
          <cell r="E55">
            <v>65688773.299999997</v>
          </cell>
          <cell r="F55">
            <v>88041102.560000002</v>
          </cell>
        </row>
        <row r="56">
          <cell r="A56" t="str">
            <v>1904C</v>
          </cell>
          <cell r="B56" t="str">
            <v>RB-C-1904C</v>
          </cell>
          <cell r="C56" t="str">
            <v/>
          </cell>
          <cell r="D56" t="str">
            <v>Total: IFRS gross value Raw materials and sup</v>
          </cell>
          <cell r="E56">
            <v>65688773.299999997</v>
          </cell>
          <cell r="F56">
            <v>88041102.560000002</v>
          </cell>
        </row>
        <row r="57">
          <cell r="A57" t="str">
            <v>19049</v>
          </cell>
          <cell r="B57" t="str">
            <v>RB-C-19049</v>
          </cell>
          <cell r="C57" t="str">
            <v/>
          </cell>
          <cell r="D57" t="str">
            <v>19049 Total: IFRS BS Value Raw mat. and suppl</v>
          </cell>
          <cell r="E57">
            <v>65688773.299999997</v>
          </cell>
          <cell r="F57">
            <v>50057212.759999998</v>
          </cell>
        </row>
        <row r="58">
          <cell r="A58" t="str">
            <v>1905C</v>
          </cell>
          <cell r="B58" t="str">
            <v>RB-C-1905C</v>
          </cell>
          <cell r="C58" t="str">
            <v/>
          </cell>
          <cell r="D58" t="str">
            <v>Total: IFRS Gross Value Prepayments Third P.</v>
          </cell>
          <cell r="E58">
            <v>0.55000000000000004</v>
          </cell>
          <cell r="F58">
            <v>0</v>
          </cell>
        </row>
        <row r="59">
          <cell r="A59" t="str">
            <v>19055</v>
          </cell>
          <cell r="B59" t="str">
            <v>RB-C-19055</v>
          </cell>
          <cell r="C59" t="str">
            <v/>
          </cell>
          <cell r="D59" t="str">
            <v>19055 Prepayments - Third p., N, B-a,B-c,B-f</v>
          </cell>
          <cell r="E59">
            <v>0.55000000000000004</v>
          </cell>
          <cell r="F59">
            <v>0</v>
          </cell>
        </row>
        <row r="60">
          <cell r="A60" t="str">
            <v>19059</v>
          </cell>
          <cell r="B60" t="str">
            <v>RB-C-19059</v>
          </cell>
          <cell r="C60" t="str">
            <v/>
          </cell>
          <cell r="D60" t="str">
            <v>19059 Total: IFRS BS Value Prepayments</v>
          </cell>
          <cell r="E60">
            <v>0.55000000000000004</v>
          </cell>
          <cell r="F60">
            <v>0</v>
          </cell>
        </row>
        <row r="61">
          <cell r="A61" t="str">
            <v>AC_IV</v>
          </cell>
          <cell r="B61" t="str">
            <v>RB-C-AC_IV</v>
          </cell>
          <cell r="C61" t="str">
            <v/>
          </cell>
          <cell r="D61" t="str">
            <v>Total AC_IV Total: Inventories</v>
          </cell>
          <cell r="E61">
            <v>132435905.39</v>
          </cell>
          <cell r="F61">
            <v>174351181.78</v>
          </cell>
        </row>
        <row r="62">
          <cell r="A62" t="str">
            <v>AC_TO</v>
          </cell>
          <cell r="B62" t="str">
            <v>RB-C-AC_TO</v>
          </cell>
          <cell r="C62" t="str">
            <v/>
          </cell>
          <cell r="D62" t="str">
            <v>Total AC_TO Total: Current assets</v>
          </cell>
          <cell r="E62">
            <v>46424055643.559998</v>
          </cell>
          <cell r="F62">
            <v>53865272359.550003</v>
          </cell>
        </row>
        <row r="63">
          <cell r="A63" t="str">
            <v>1430C</v>
          </cell>
          <cell r="B63" t="str">
            <v>RB-C-1430C</v>
          </cell>
          <cell r="C63" t="str">
            <v/>
          </cell>
          <cell r="D63" t="str">
            <v>Costs</v>
          </cell>
          <cell r="E63">
            <v>15111029372.120001</v>
          </cell>
          <cell r="F63">
            <v>18364653190.119999</v>
          </cell>
        </row>
        <row r="64">
          <cell r="A64" t="str">
            <v>14300</v>
          </cell>
          <cell r="B64" t="str">
            <v>RB-C-14300</v>
          </cell>
          <cell r="C64" t="str">
            <v/>
          </cell>
          <cell r="D64" t="str">
            <v>14300 Investments - K</v>
          </cell>
          <cell r="E64">
            <v>15111029372.120001</v>
          </cell>
          <cell r="F64">
            <v>18364653190.119999</v>
          </cell>
        </row>
        <row r="65">
          <cell r="A65" t="str">
            <v>1436D</v>
          </cell>
          <cell r="B65" t="str">
            <v>RB-C-1436D</v>
          </cell>
          <cell r="C65" t="str">
            <v/>
          </cell>
          <cell r="D65" t="str">
            <v>Accumulated Depreciation</v>
          </cell>
          <cell r="E65">
            <v>31762578</v>
          </cell>
          <cell r="F65">
            <v>31762578</v>
          </cell>
        </row>
        <row r="66">
          <cell r="A66" t="str">
            <v>14360</v>
          </cell>
          <cell r="B66" t="str">
            <v>RB-C-14360</v>
          </cell>
          <cell r="C66" t="str">
            <v/>
          </cell>
          <cell r="D66" t="str">
            <v>14360 Investments - B-c FVOCI nR</v>
          </cell>
          <cell r="E66">
            <v>31762578</v>
          </cell>
          <cell r="F66">
            <v>31762578</v>
          </cell>
        </row>
        <row r="67">
          <cell r="A67" t="str">
            <v>AN_IN</v>
          </cell>
          <cell r="B67" t="str">
            <v>RB-C-AN_IN</v>
          </cell>
          <cell r="C67" t="str">
            <v/>
          </cell>
          <cell r="D67" t="str">
            <v>AN_IN Total: Investments (wo B-a)</v>
          </cell>
          <cell r="E67">
            <v>15142791950.120001</v>
          </cell>
          <cell r="F67">
            <v>18396415768.119999</v>
          </cell>
        </row>
        <row r="68">
          <cell r="A68" t="str">
            <v>1521E</v>
          </cell>
          <cell r="B68" t="str">
            <v>RB-C-1521E</v>
          </cell>
          <cell r="C68" t="str">
            <v/>
          </cell>
          <cell r="D68" t="str">
            <v/>
          </cell>
          <cell r="E68">
            <v>853467369.72000003</v>
          </cell>
          <cell r="F68">
            <v>463826819.91000003</v>
          </cell>
        </row>
        <row r="69">
          <cell r="A69" t="str">
            <v>15210</v>
          </cell>
          <cell r="B69" t="str">
            <v>RB-C-15210</v>
          </cell>
          <cell r="C69" t="str">
            <v/>
          </cell>
          <cell r="D69" t="str">
            <v>15210 Loans &gt; 1 year - Third parties, B-c,B-f</v>
          </cell>
          <cell r="E69">
            <v>853467369.72000003</v>
          </cell>
          <cell r="F69">
            <v>463826819.91000003</v>
          </cell>
        </row>
        <row r="70">
          <cell r="A70" t="str">
            <v>1521C</v>
          </cell>
          <cell r="B70" t="str">
            <v>RB-C-1521C</v>
          </cell>
          <cell r="C70" t="str">
            <v/>
          </cell>
          <cell r="D70" t="str">
            <v/>
          </cell>
          <cell r="E70">
            <v>72567624</v>
          </cell>
          <cell r="F70">
            <v>70800455.569999993</v>
          </cell>
        </row>
        <row r="71">
          <cell r="A71" t="str">
            <v>1521D</v>
          </cell>
          <cell r="B71" t="str">
            <v>RB-C-1521D</v>
          </cell>
          <cell r="C71" t="str">
            <v/>
          </cell>
          <cell r="D71" t="str">
            <v/>
          </cell>
          <cell r="E71">
            <v>-1451352</v>
          </cell>
          <cell r="F71">
            <v>-1416009.11</v>
          </cell>
        </row>
        <row r="72">
          <cell r="A72" t="str">
            <v>15215</v>
          </cell>
          <cell r="B72" t="str">
            <v>RB-C-15215</v>
          </cell>
          <cell r="C72" t="str">
            <v/>
          </cell>
          <cell r="D72" t="str">
            <v>15215 Loans &gt; 1 year - employees</v>
          </cell>
          <cell r="E72">
            <v>71116272</v>
          </cell>
          <cell r="F72">
            <v>69384446.459999993</v>
          </cell>
        </row>
        <row r="73">
          <cell r="A73" t="str">
            <v>15220</v>
          </cell>
          <cell r="B73" t="str">
            <v>RB-C-15220</v>
          </cell>
          <cell r="C73" t="str">
            <v/>
          </cell>
          <cell r="D73" t="str">
            <v>15220 Loans &gt; 1 year - K</v>
          </cell>
          <cell r="E73">
            <v>46610000</v>
          </cell>
          <cell r="F73">
            <v>0</v>
          </cell>
        </row>
        <row r="74">
          <cell r="A74" t="str">
            <v>15289</v>
          </cell>
          <cell r="B74" t="str">
            <v>RB-C-15289</v>
          </cell>
          <cell r="C74" t="str">
            <v/>
          </cell>
          <cell r="D74" t="str">
            <v>15289 Total: Loans &gt; 1 year</v>
          </cell>
          <cell r="E74">
            <v>971193641.72000003</v>
          </cell>
          <cell r="F74">
            <v>533211266.37</v>
          </cell>
        </row>
        <row r="75">
          <cell r="A75" t="str">
            <v>1530C</v>
          </cell>
          <cell r="B75" t="str">
            <v>RB-C-1530C</v>
          </cell>
          <cell r="C75" t="str">
            <v/>
          </cell>
          <cell r="D75" t="str">
            <v/>
          </cell>
          <cell r="E75">
            <v>121217612.41</v>
          </cell>
          <cell r="F75">
            <v>319283695</v>
          </cell>
        </row>
        <row r="76">
          <cell r="A76" t="str">
            <v>1530D</v>
          </cell>
          <cell r="B76" t="str">
            <v>RB-C-1530D</v>
          </cell>
          <cell r="C76" t="str">
            <v/>
          </cell>
          <cell r="D76" t="str">
            <v/>
          </cell>
          <cell r="E76">
            <v>-0.01</v>
          </cell>
          <cell r="F76">
            <v>-0.01</v>
          </cell>
        </row>
        <row r="77">
          <cell r="A77" t="str">
            <v>15305</v>
          </cell>
          <cell r="B77" t="str">
            <v>RB-C-15305</v>
          </cell>
          <cell r="C77" t="str">
            <v/>
          </cell>
          <cell r="D77" t="str">
            <v>15305 Receiv. f. fin. lease (lessor) &gt; 1 year</v>
          </cell>
          <cell r="E77">
            <v>121217612.40000001</v>
          </cell>
          <cell r="F77">
            <v>319283694.99000001</v>
          </cell>
        </row>
        <row r="78">
          <cell r="A78" t="str">
            <v>1531E</v>
          </cell>
          <cell r="B78" t="str">
            <v>RB-C-1531E</v>
          </cell>
          <cell r="C78" t="str">
            <v/>
          </cell>
          <cell r="D78" t="str">
            <v/>
          </cell>
          <cell r="E78">
            <v>1296661283</v>
          </cell>
          <cell r="F78">
            <v>1531308915.6400001</v>
          </cell>
        </row>
        <row r="79">
          <cell r="A79" t="str">
            <v>1531F</v>
          </cell>
          <cell r="B79" t="str">
            <v>RB-C-1531F</v>
          </cell>
          <cell r="C79" t="str">
            <v/>
          </cell>
          <cell r="D79" t="str">
            <v/>
          </cell>
          <cell r="E79">
            <v>-25933225</v>
          </cell>
          <cell r="F79">
            <v>-31251202.359999999</v>
          </cell>
        </row>
        <row r="80">
          <cell r="A80" t="str">
            <v>15312</v>
          </cell>
          <cell r="B80" t="str">
            <v>RB-C-15312</v>
          </cell>
          <cell r="C80" t="str">
            <v/>
          </cell>
          <cell r="D80" t="str">
            <v>15312 Other financial receivables &gt;1 year th.</v>
          </cell>
          <cell r="E80">
            <v>1270728058</v>
          </cell>
          <cell r="F80">
            <v>1500057713.28</v>
          </cell>
        </row>
        <row r="81">
          <cell r="A81" t="str">
            <v>AN_FA</v>
          </cell>
          <cell r="B81" t="str">
            <v>RB-C-AN_FA</v>
          </cell>
          <cell r="C81" t="str">
            <v/>
          </cell>
          <cell r="D81" t="str">
            <v>Total AN_FA Total: Oth non-curr fin assets&gt;1y</v>
          </cell>
          <cell r="E81">
            <v>17505931262.240002</v>
          </cell>
          <cell r="F81">
            <v>20748968442.759998</v>
          </cell>
        </row>
        <row r="82">
          <cell r="A82" t="str">
            <v>1550C</v>
          </cell>
          <cell r="B82" t="str">
            <v>RB-C-1550C</v>
          </cell>
          <cell r="C82" t="str">
            <v/>
          </cell>
          <cell r="D82" t="str">
            <v/>
          </cell>
          <cell r="E82">
            <v>859173132.60000002</v>
          </cell>
          <cell r="F82">
            <v>0</v>
          </cell>
        </row>
        <row r="83">
          <cell r="A83" t="str">
            <v>15500</v>
          </cell>
          <cell r="B83" t="str">
            <v>RB-C-15500</v>
          </cell>
          <cell r="C83" t="str">
            <v/>
          </cell>
          <cell r="D83" t="str">
            <v>15500 CA: Sales over time &gt; 1 y - 3rd, N, B-a</v>
          </cell>
          <cell r="E83">
            <v>859173132.60000002</v>
          </cell>
          <cell r="F83">
            <v>0</v>
          </cell>
        </row>
        <row r="84">
          <cell r="A84" t="str">
            <v>AN_CA</v>
          </cell>
          <cell r="B84" t="str">
            <v>RB-C-AN_CA</v>
          </cell>
          <cell r="C84" t="str">
            <v/>
          </cell>
          <cell r="D84" t="str">
            <v>Total AN_CA Total: Contract assets (CA) &gt; 1 y</v>
          </cell>
          <cell r="E84">
            <v>859173132.60000002</v>
          </cell>
          <cell r="F84">
            <v>0</v>
          </cell>
        </row>
        <row r="85">
          <cell r="A85" t="str">
            <v>15315</v>
          </cell>
          <cell r="B85" t="str">
            <v>RB-C-15315</v>
          </cell>
          <cell r="C85" t="str">
            <v/>
          </cell>
          <cell r="D85" t="str">
            <v>15315 Income tax receivables &gt; 1 y</v>
          </cell>
          <cell r="E85">
            <v>81385885</v>
          </cell>
          <cell r="F85">
            <v>32618080.219999999</v>
          </cell>
        </row>
        <row r="86">
          <cell r="A86" t="str">
            <v>AN_IT</v>
          </cell>
          <cell r="B86" t="str">
            <v>RB-C-AN_IT</v>
          </cell>
          <cell r="C86" t="str">
            <v/>
          </cell>
          <cell r="D86" t="str">
            <v>Total AN_IT Total: Income tax receivables&gt;1y</v>
          </cell>
          <cell r="E86">
            <v>81385885</v>
          </cell>
          <cell r="F86">
            <v>32618080.219999999</v>
          </cell>
        </row>
        <row r="87">
          <cell r="A87" t="str">
            <v>1200C</v>
          </cell>
          <cell r="B87" t="str">
            <v>RB-C-1200C</v>
          </cell>
          <cell r="C87" t="str">
            <v/>
          </cell>
          <cell r="D87" t="str">
            <v>Costs</v>
          </cell>
          <cell r="E87">
            <v>3520495822.3800001</v>
          </cell>
          <cell r="F87">
            <v>3518546402.3800001</v>
          </cell>
        </row>
        <row r="88">
          <cell r="A88" t="str">
            <v>1200D</v>
          </cell>
          <cell r="B88" t="str">
            <v>RB-C-1200D</v>
          </cell>
          <cell r="C88" t="str">
            <v/>
          </cell>
          <cell r="D88" t="str">
            <v>Accumulated Depreciation</v>
          </cell>
          <cell r="E88">
            <v>-1795434028.74</v>
          </cell>
          <cell r="F88">
            <v>-1706541778.8900001</v>
          </cell>
        </row>
        <row r="89">
          <cell r="A89" t="str">
            <v>12000</v>
          </cell>
          <cell r="B89" t="str">
            <v>RB-C-12000</v>
          </cell>
          <cell r="C89" t="str">
            <v/>
          </cell>
          <cell r="D89" t="str">
            <v>12000 Land, land rights and buildings</v>
          </cell>
          <cell r="E89">
            <v>1725061793.6400001</v>
          </cell>
          <cell r="F89">
            <v>1812004623.49</v>
          </cell>
        </row>
        <row r="90">
          <cell r="A90" t="str">
            <v>1202C</v>
          </cell>
          <cell r="B90" t="str">
            <v>RB-C-1202C</v>
          </cell>
          <cell r="C90" t="str">
            <v/>
          </cell>
          <cell r="D90" t="str">
            <v>Costs</v>
          </cell>
          <cell r="E90">
            <v>4862530979.96</v>
          </cell>
          <cell r="F90">
            <v>4782813092.8299999</v>
          </cell>
        </row>
        <row r="91">
          <cell r="A91" t="str">
            <v>1202D</v>
          </cell>
          <cell r="B91" t="str">
            <v>RB-C-1202D</v>
          </cell>
          <cell r="C91" t="str">
            <v/>
          </cell>
          <cell r="D91" t="str">
            <v>Accumulated Depreciation</v>
          </cell>
          <cell r="E91">
            <v>-2454123984.5700002</v>
          </cell>
          <cell r="F91">
            <v>-2289696556.5500002</v>
          </cell>
        </row>
        <row r="92">
          <cell r="A92" t="str">
            <v>12020</v>
          </cell>
          <cell r="B92" t="str">
            <v>RB-C-12020</v>
          </cell>
          <cell r="C92" t="str">
            <v/>
          </cell>
          <cell r="D92" t="str">
            <v>12020 Technical plant and equipment</v>
          </cell>
          <cell r="E92">
            <v>2408406995.3899999</v>
          </cell>
          <cell r="F92">
            <v>2493116536.2800002</v>
          </cell>
        </row>
        <row r="93">
          <cell r="A93" t="str">
            <v>1203C</v>
          </cell>
          <cell r="B93" t="str">
            <v>RB-C-1203C</v>
          </cell>
          <cell r="C93" t="str">
            <v/>
          </cell>
          <cell r="D93" t="str">
            <v>Costs</v>
          </cell>
          <cell r="E93">
            <v>20135135013.400002</v>
          </cell>
          <cell r="F93">
            <v>19647709639.419998</v>
          </cell>
        </row>
        <row r="94">
          <cell r="A94" t="str">
            <v>1203D</v>
          </cell>
          <cell r="B94" t="str">
            <v>RB-C-1203D</v>
          </cell>
          <cell r="C94" t="str">
            <v/>
          </cell>
          <cell r="D94" t="str">
            <v>Accumulated Depreciation</v>
          </cell>
          <cell r="E94">
            <v>-14273604997.469999</v>
          </cell>
          <cell r="F94">
            <v>-13315246463.950001</v>
          </cell>
        </row>
        <row r="95">
          <cell r="A95" t="str">
            <v>12030</v>
          </cell>
          <cell r="B95" t="str">
            <v>RB-C-12030</v>
          </cell>
          <cell r="C95" t="str">
            <v/>
          </cell>
          <cell r="D95" t="str">
            <v>12030 Other, office and operating equipment</v>
          </cell>
          <cell r="E95">
            <v>5861530015.9300003</v>
          </cell>
          <cell r="F95">
            <v>6332463175.4700003</v>
          </cell>
        </row>
        <row r="96">
          <cell r="A96" t="str">
            <v>1205C</v>
          </cell>
          <cell r="B96" t="str">
            <v>RB-C-1205C</v>
          </cell>
          <cell r="C96" t="str">
            <v/>
          </cell>
          <cell r="D96" t="str">
            <v>Costs</v>
          </cell>
          <cell r="E96">
            <v>963040168.57000005</v>
          </cell>
          <cell r="F96">
            <v>1008013943.41</v>
          </cell>
        </row>
        <row r="97">
          <cell r="A97" t="str">
            <v>12050</v>
          </cell>
          <cell r="B97" t="str">
            <v>RB-C-12050</v>
          </cell>
          <cell r="C97" t="str">
            <v/>
          </cell>
          <cell r="D97" t="str">
            <v>12050 Construction in progress</v>
          </cell>
          <cell r="E97">
            <v>963040168.57000005</v>
          </cell>
          <cell r="F97">
            <v>1008013943.41</v>
          </cell>
        </row>
        <row r="98">
          <cell r="A98" t="str">
            <v>1206C</v>
          </cell>
          <cell r="B98" t="str">
            <v>RB-C-1206C</v>
          </cell>
          <cell r="C98" t="str">
            <v/>
          </cell>
          <cell r="D98" t="str">
            <v>Costs</v>
          </cell>
          <cell r="E98">
            <v>4337536.83</v>
          </cell>
          <cell r="F98">
            <v>4397320.7300000004</v>
          </cell>
        </row>
        <row r="99">
          <cell r="A99" t="str">
            <v>12061</v>
          </cell>
          <cell r="B99" t="str">
            <v>RB-C-12061</v>
          </cell>
          <cell r="C99" t="str">
            <v/>
          </cell>
          <cell r="D99" t="str">
            <v>12061 Prepayments on plant and equip 3rd,B-a</v>
          </cell>
          <cell r="E99">
            <v>4337536.83</v>
          </cell>
          <cell r="F99">
            <v>4397320.7300000004</v>
          </cell>
        </row>
        <row r="100">
          <cell r="A100" t="str">
            <v>AN_TF</v>
          </cell>
          <cell r="B100" t="str">
            <v>RB-C-AN_TF</v>
          </cell>
          <cell r="C100" t="str">
            <v/>
          </cell>
          <cell r="D100" t="str">
            <v>Total AN_TF Total: Tangible fixed assets</v>
          </cell>
          <cell r="E100">
            <v>10962376510.360001</v>
          </cell>
          <cell r="F100">
            <v>11649995599.379999</v>
          </cell>
        </row>
        <row r="101">
          <cell r="A101" t="str">
            <v>1300C</v>
          </cell>
          <cell r="B101" t="str">
            <v>RB-C-1300C</v>
          </cell>
          <cell r="C101" t="str">
            <v/>
          </cell>
          <cell r="D101" t="str">
            <v>Costs</v>
          </cell>
          <cell r="E101">
            <v>17230585638.060001</v>
          </cell>
          <cell r="F101">
            <v>17176513859.040001</v>
          </cell>
        </row>
        <row r="102">
          <cell r="A102" t="str">
            <v>1300D</v>
          </cell>
          <cell r="B102" t="str">
            <v>RB-C-1300D</v>
          </cell>
          <cell r="C102" t="str">
            <v/>
          </cell>
          <cell r="D102" t="str">
            <v>Accumulated Depreciation</v>
          </cell>
          <cell r="E102">
            <v>-9285441117.0900002</v>
          </cell>
          <cell r="F102">
            <v>-8867861867.5599995</v>
          </cell>
        </row>
        <row r="103">
          <cell r="A103" t="str">
            <v>13000</v>
          </cell>
          <cell r="B103" t="str">
            <v>RB-C-13000</v>
          </cell>
          <cell r="C103" t="str">
            <v/>
          </cell>
          <cell r="D103" t="str">
            <v>13000 Leasing land, land rights and buildings</v>
          </cell>
          <cell r="E103">
            <v>7945144520.9700003</v>
          </cell>
          <cell r="F103">
            <v>8308651991.4799995</v>
          </cell>
        </row>
        <row r="104">
          <cell r="A104" t="str">
            <v>AN_RU</v>
          </cell>
          <cell r="B104" t="str">
            <v>RB-C-AN_RU</v>
          </cell>
          <cell r="C104" t="str">
            <v/>
          </cell>
          <cell r="D104" t="str">
            <v>Total AN_RU Total: Right-of-use assets leas.</v>
          </cell>
          <cell r="E104">
            <v>7945144520.9700003</v>
          </cell>
          <cell r="F104">
            <v>8308651991.4799995</v>
          </cell>
        </row>
        <row r="105">
          <cell r="A105" t="str">
            <v>1122C</v>
          </cell>
          <cell r="B105" t="str">
            <v>RB-C-1122C</v>
          </cell>
          <cell r="C105" t="str">
            <v/>
          </cell>
          <cell r="D105" t="str">
            <v>Costs</v>
          </cell>
          <cell r="E105">
            <v>916022569.97000003</v>
          </cell>
          <cell r="F105">
            <v>869790057.66999996</v>
          </cell>
        </row>
        <row r="106">
          <cell r="A106" t="str">
            <v>1122D</v>
          </cell>
          <cell r="B106" t="str">
            <v>RB-C-1122D</v>
          </cell>
          <cell r="C106" t="str">
            <v/>
          </cell>
          <cell r="D106" t="str">
            <v>Accumulated Depreciation</v>
          </cell>
          <cell r="E106">
            <v>-900681765.79999995</v>
          </cell>
          <cell r="F106">
            <v>-867999151.89999998</v>
          </cell>
        </row>
        <row r="107">
          <cell r="A107" t="str">
            <v>11220</v>
          </cell>
          <cell r="B107" t="str">
            <v>RB-C-11220</v>
          </cell>
          <cell r="C107" t="str">
            <v/>
          </cell>
          <cell r="D107" t="str">
            <v>11220 Software, acquired</v>
          </cell>
          <cell r="E107">
            <v>15340804.17</v>
          </cell>
          <cell r="F107">
            <v>1790905.77</v>
          </cell>
        </row>
        <row r="108">
          <cell r="A108" t="str">
            <v>11299</v>
          </cell>
          <cell r="B108" t="str">
            <v>RB-C-11299</v>
          </cell>
          <cell r="C108" t="str">
            <v/>
          </cell>
          <cell r="D108" t="str">
            <v>11299 Total: Intangible assets, acquired</v>
          </cell>
          <cell r="E108">
            <v>15340804.17</v>
          </cell>
          <cell r="F108">
            <v>1790905.77</v>
          </cell>
        </row>
        <row r="109">
          <cell r="A109" t="str">
            <v>AN_IA</v>
          </cell>
          <cell r="B109" t="str">
            <v>RB-C-AN_IA</v>
          </cell>
          <cell r="C109" t="str">
            <v/>
          </cell>
          <cell r="D109" t="str">
            <v>Total AN_IA Total: Intangible assets</v>
          </cell>
          <cell r="E109">
            <v>15340804.17</v>
          </cell>
          <cell r="F109">
            <v>1790905.77</v>
          </cell>
        </row>
        <row r="110">
          <cell r="A110" t="str">
            <v>15300</v>
          </cell>
          <cell r="B110" t="str">
            <v>RB-C-15300</v>
          </cell>
          <cell r="C110" t="str">
            <v/>
          </cell>
          <cell r="D110" t="str">
            <v>15300 Receivables f. pensionfunds,overaccrued</v>
          </cell>
          <cell r="E110">
            <v>3389698667</v>
          </cell>
          <cell r="F110">
            <v>2076899590</v>
          </cell>
        </row>
        <row r="111">
          <cell r="A111" t="str">
            <v>15310</v>
          </cell>
          <cell r="B111" t="str">
            <v>RB-C-15310</v>
          </cell>
          <cell r="C111" t="str">
            <v/>
          </cell>
          <cell r="D111" t="str">
            <v>15310 Other sundry receiv.&gt;1 y.-Th.p.,B-c,B-f</v>
          </cell>
          <cell r="E111">
            <v>30424796.510000002</v>
          </cell>
          <cell r="F111">
            <v>155689061.68000001</v>
          </cell>
        </row>
        <row r="112">
          <cell r="A112" t="str">
            <v>15316</v>
          </cell>
          <cell r="B112" t="str">
            <v>RB-C-15316</v>
          </cell>
          <cell r="C112" t="str">
            <v/>
          </cell>
          <cell r="D112" t="str">
            <v>15316 Other tax receivables &gt; 1 year</v>
          </cell>
          <cell r="E112">
            <v>3721872855</v>
          </cell>
          <cell r="F112">
            <v>3932593932.4200001</v>
          </cell>
        </row>
        <row r="113">
          <cell r="A113" t="str">
            <v>AN_OA</v>
          </cell>
          <cell r="B113" t="str">
            <v>RB-C-AN_OA</v>
          </cell>
          <cell r="C113" t="str">
            <v/>
          </cell>
          <cell r="D113" t="str">
            <v>Total AN_OA Total: Other non-current assets</v>
          </cell>
          <cell r="E113">
            <v>7141996318.5100002</v>
          </cell>
          <cell r="F113">
            <v>6165182584.1000004</v>
          </cell>
        </row>
        <row r="114">
          <cell r="A114" t="str">
            <v>15600</v>
          </cell>
          <cell r="B114" t="str">
            <v>RB-C-15600</v>
          </cell>
          <cell r="C114" t="str">
            <v/>
          </cell>
          <cell r="D114" t="str">
            <v>15600 Deferred tax assets</v>
          </cell>
          <cell r="E114">
            <v>3229081375.54</v>
          </cell>
          <cell r="F114">
            <v>2529714494.77</v>
          </cell>
        </row>
        <row r="115">
          <cell r="A115" t="str">
            <v>AN_DT</v>
          </cell>
          <cell r="B115" t="str">
            <v>RB-C-AN_DT</v>
          </cell>
          <cell r="C115" t="str">
            <v/>
          </cell>
          <cell r="D115" t="str">
            <v>Total AN_DT Total: Deferred tax assets</v>
          </cell>
          <cell r="E115">
            <v>3229081375.54</v>
          </cell>
          <cell r="F115">
            <v>2529714494.77</v>
          </cell>
        </row>
        <row r="116">
          <cell r="A116" t="str">
            <v>AN_TO</v>
          </cell>
          <cell r="B116" t="str">
            <v>RB-C-AN_TO</v>
          </cell>
          <cell r="C116" t="str">
            <v/>
          </cell>
          <cell r="D116" t="str">
            <v>Total AN_TO Total: Non-current assets</v>
          </cell>
          <cell r="E116">
            <v>47740429809.389999</v>
          </cell>
          <cell r="F116">
            <v>49436922098.480003</v>
          </cell>
        </row>
        <row r="117">
          <cell r="A117" t="str">
            <v>A_TOT</v>
          </cell>
          <cell r="B117" t="str">
            <v>RB-C-A_TOT</v>
          </cell>
          <cell r="C117" t="str">
            <v/>
          </cell>
          <cell r="D117" t="str">
            <v>Total A_TOT Total: Assets</v>
          </cell>
          <cell r="E117">
            <v>94164485452.949997</v>
          </cell>
          <cell r="F117">
            <v>103302194458.03</v>
          </cell>
        </row>
        <row r="118">
          <cell r="A118" t="str">
            <v>20100</v>
          </cell>
          <cell r="B118" t="str">
            <v>RB-C-20100</v>
          </cell>
          <cell r="C118" t="str">
            <v/>
          </cell>
          <cell r="D118" t="str">
            <v>20100 Trade payables  - Third parties,B-c,B-f</v>
          </cell>
          <cell r="E118">
            <v>-6507173257.2200003</v>
          </cell>
          <cell r="F118">
            <v>-7963546834.4399996</v>
          </cell>
        </row>
        <row r="119">
          <cell r="A119" t="str">
            <v>2012I</v>
          </cell>
          <cell r="B119" t="str">
            <v>RB-C-2012I</v>
          </cell>
          <cell r="C119" t="str">
            <v/>
          </cell>
          <cell r="D119" t="str">
            <v>Trade payables - K - Intrasegment</v>
          </cell>
          <cell r="E119">
            <v>-4663149070</v>
          </cell>
          <cell r="F119">
            <v>-4296996330.5</v>
          </cell>
        </row>
        <row r="120">
          <cell r="A120" t="str">
            <v>20120</v>
          </cell>
          <cell r="B120" t="str">
            <v>RB-C-20120</v>
          </cell>
          <cell r="C120" t="str">
            <v/>
          </cell>
          <cell r="D120" t="str">
            <v>20120 Trade payables - K</v>
          </cell>
          <cell r="E120">
            <v>-4830249126</v>
          </cell>
          <cell r="F120">
            <v>-4296996330.5</v>
          </cell>
        </row>
        <row r="121">
          <cell r="A121" t="str">
            <v>2012L</v>
          </cell>
          <cell r="B121" t="str">
            <v>RB-C-2012L</v>
          </cell>
          <cell r="C121" t="str">
            <v/>
          </cell>
          <cell r="D121" t="str">
            <v/>
          </cell>
          <cell r="E121">
            <v>-28893229.879999999</v>
          </cell>
          <cell r="F121">
            <v>-237931544.69999999</v>
          </cell>
        </row>
        <row r="122">
          <cell r="A122" t="str">
            <v>20125</v>
          </cell>
          <cell r="B122" t="str">
            <v>RB-C-20125</v>
          </cell>
          <cell r="C122" t="str">
            <v/>
          </cell>
          <cell r="D122" t="str">
            <v/>
          </cell>
          <cell r="E122">
            <v>-28893229.879999999</v>
          </cell>
          <cell r="F122">
            <v>-237931544.69999999</v>
          </cell>
        </row>
        <row r="123">
          <cell r="A123" t="str">
            <v>20140</v>
          </cell>
          <cell r="B123" t="str">
            <v>RB-C-20140</v>
          </cell>
          <cell r="C123" t="str">
            <v/>
          </cell>
          <cell r="D123" t="str">
            <v>20140 Trade payables - N</v>
          </cell>
          <cell r="E123">
            <v>-44746308.710000001</v>
          </cell>
          <cell r="F123">
            <v>-44746309</v>
          </cell>
        </row>
        <row r="124">
          <cell r="A124" t="str">
            <v>20179</v>
          </cell>
          <cell r="B124" t="str">
            <v>RB-C-20179</v>
          </cell>
          <cell r="C124" t="str">
            <v/>
          </cell>
          <cell r="D124" t="str">
            <v>20179 Total: Trade payables</v>
          </cell>
          <cell r="E124">
            <v>-11243961865.809999</v>
          </cell>
          <cell r="F124">
            <v>-12543221018.639999</v>
          </cell>
        </row>
        <row r="125">
          <cell r="A125" t="str">
            <v>LC_AP</v>
          </cell>
          <cell r="B125" t="str">
            <v>RB-C-LC_AP</v>
          </cell>
          <cell r="C125" t="str">
            <v/>
          </cell>
          <cell r="D125" t="str">
            <v>Total LC_AP Total:Trade payab. and notes pay.</v>
          </cell>
          <cell r="E125">
            <v>-11411061921.809999</v>
          </cell>
          <cell r="F125">
            <v>-12543221018.639999</v>
          </cell>
        </row>
        <row r="126">
          <cell r="A126" t="str">
            <v>21500</v>
          </cell>
          <cell r="B126" t="str">
            <v>RB-C-21500</v>
          </cell>
          <cell r="C126" t="str">
            <v/>
          </cell>
          <cell r="D126" t="str">
            <v>21500 Lease liabilities (lessee) &lt; 1 y</v>
          </cell>
          <cell r="E126">
            <v>-1755486265.96</v>
          </cell>
          <cell r="F126">
            <v>-2297422949.1199999</v>
          </cell>
        </row>
        <row r="127">
          <cell r="A127" t="str">
            <v>LC_LL</v>
          </cell>
          <cell r="B127" t="str">
            <v>RB-C-LC_LL</v>
          </cell>
          <cell r="C127" t="str">
            <v/>
          </cell>
          <cell r="D127" t="str">
            <v>Total LC_LL Lease liabilities (lessee) &lt; 1 y</v>
          </cell>
          <cell r="E127">
            <v>-1755486265.96</v>
          </cell>
          <cell r="F127">
            <v>-2297422949.1199999</v>
          </cell>
        </row>
        <row r="128">
          <cell r="A128" t="str">
            <v>21305</v>
          </cell>
          <cell r="B128" t="str">
            <v>RB-C-21305</v>
          </cell>
          <cell r="C128" t="str">
            <v/>
          </cell>
          <cell r="D128" t="str">
            <v>21305 Derivatives w/o hedge &lt; 1 y - 3r</v>
          </cell>
          <cell r="E128">
            <v>-463081474.13</v>
          </cell>
          <cell r="F128">
            <v>-566106006.01999998</v>
          </cell>
        </row>
        <row r="129">
          <cell r="A129" t="str">
            <v>21318</v>
          </cell>
          <cell r="B129" t="str">
            <v>RB-C-21318</v>
          </cell>
          <cell r="C129" t="str">
            <v/>
          </cell>
          <cell r="D129" t="str">
            <v>21318 Other financial liabilities &lt; 1 year th</v>
          </cell>
          <cell r="E129">
            <v>-874103426.36000001</v>
          </cell>
          <cell r="F129">
            <v>-1206441268.1800001</v>
          </cell>
        </row>
        <row r="130">
          <cell r="A130" t="str">
            <v>21324</v>
          </cell>
          <cell r="B130" t="str">
            <v>RB-C-21324</v>
          </cell>
          <cell r="C130" t="str">
            <v/>
          </cell>
          <cell r="D130" t="str">
            <v>21324 Debtors with credit balances K</v>
          </cell>
          <cell r="E130">
            <v>-13800179</v>
          </cell>
          <cell r="F130">
            <v>-8816775.7699999996</v>
          </cell>
        </row>
        <row r="131">
          <cell r="A131" t="str">
            <v>21328</v>
          </cell>
          <cell r="B131" t="str">
            <v>RB-C-21328</v>
          </cell>
          <cell r="C131" t="str">
            <v/>
          </cell>
          <cell r="D131" t="str">
            <v>21328 Other financial liabilities &lt; 1 year K</v>
          </cell>
          <cell r="E131">
            <v>-17855874.530000001</v>
          </cell>
          <cell r="F131">
            <v>0</v>
          </cell>
        </row>
        <row r="132">
          <cell r="A132" t="str">
            <v>21391</v>
          </cell>
          <cell r="B132" t="str">
            <v>RB-C-21391</v>
          </cell>
          <cell r="C132" t="str">
            <v/>
          </cell>
          <cell r="D132" t="str">
            <v>21391 Financial liabil. to board members, emp</v>
          </cell>
          <cell r="E132">
            <v>-184642345.53</v>
          </cell>
          <cell r="F132">
            <v>102783208.72</v>
          </cell>
        </row>
        <row r="133">
          <cell r="A133" t="str">
            <v>LC_FL</v>
          </cell>
          <cell r="B133" t="str">
            <v>RB-C-LC_FL</v>
          </cell>
          <cell r="C133" t="str">
            <v/>
          </cell>
          <cell r="D133" t="str">
            <v>Total LC_FL Total: Financial liabilities &lt; 1y</v>
          </cell>
          <cell r="E133">
            <v>-1553483299.55</v>
          </cell>
          <cell r="F133">
            <v>-1678580841.25</v>
          </cell>
        </row>
        <row r="134">
          <cell r="A134" t="str">
            <v>20200</v>
          </cell>
          <cell r="B134" t="str">
            <v>RB-C-20200</v>
          </cell>
          <cell r="C134" t="str">
            <v/>
          </cell>
          <cell r="D134" t="str">
            <v>20200 CL: Sales over time &lt; 1 y - 3rd, N, B-a</v>
          </cell>
          <cell r="E134">
            <v>-168357692.40000001</v>
          </cell>
          <cell r="F134">
            <v>-189093491.71000001</v>
          </cell>
        </row>
        <row r="135">
          <cell r="A135" t="str">
            <v>20210</v>
          </cell>
          <cell r="B135" t="str">
            <v>RB-C-20210</v>
          </cell>
          <cell r="C135" t="str">
            <v/>
          </cell>
          <cell r="D135" t="str">
            <v>20210 CL: Prepayment received&lt;1 yr 3rd,N, etc</v>
          </cell>
          <cell r="E135">
            <v>-31594786.59</v>
          </cell>
          <cell r="F135">
            <v>-508161963.61000001</v>
          </cell>
        </row>
        <row r="136">
          <cell r="A136" t="str">
            <v>20220</v>
          </cell>
          <cell r="B136" t="str">
            <v>RB-C-20220</v>
          </cell>
          <cell r="C136" t="str">
            <v/>
          </cell>
          <cell r="D136" t="str">
            <v>20220 CL: Prepayments received &lt;1 year K</v>
          </cell>
          <cell r="E136">
            <v>-1886953.88</v>
          </cell>
          <cell r="F136">
            <v>-46465753.880000003</v>
          </cell>
        </row>
        <row r="137">
          <cell r="A137" t="str">
            <v>LC_CL</v>
          </cell>
          <cell r="B137" t="str">
            <v>RB-C-LC_CL</v>
          </cell>
          <cell r="C137" t="str">
            <v/>
          </cell>
          <cell r="D137" t="str">
            <v>Total LC_CL Total: Ctr. liabilities (CL) &lt; 1y</v>
          </cell>
          <cell r="E137">
            <v>-201839432.87</v>
          </cell>
          <cell r="F137">
            <v>-743721209.20000005</v>
          </cell>
        </row>
        <row r="138">
          <cell r="A138" t="str">
            <v>21200</v>
          </cell>
          <cell r="B138" t="str">
            <v>RB-C-21200</v>
          </cell>
          <cell r="C138" t="str">
            <v/>
          </cell>
          <cell r="D138" t="str">
            <v>21200 Income tax liabilities</v>
          </cell>
          <cell r="E138">
            <v>0</v>
          </cell>
          <cell r="F138">
            <v>0.39</v>
          </cell>
        </row>
        <row r="139">
          <cell r="A139" t="str">
            <v>LC_IT</v>
          </cell>
          <cell r="B139" t="str">
            <v>RB-C-LC_IT</v>
          </cell>
          <cell r="C139" t="str">
            <v/>
          </cell>
          <cell r="D139" t="str">
            <v>Total LC_IT Total: Income tax liabilities &lt;1y</v>
          </cell>
          <cell r="E139">
            <v>0</v>
          </cell>
          <cell r="F139">
            <v>0.39</v>
          </cell>
        </row>
        <row r="140">
          <cell r="A140" t="str">
            <v>21005</v>
          </cell>
          <cell r="B140" t="str">
            <v>RB-C-21005</v>
          </cell>
          <cell r="C140" t="str">
            <v/>
          </cell>
          <cell r="D140" t="str">
            <v>21005 Ac.liab.: Bonuses, profit participation</v>
          </cell>
          <cell r="E140">
            <v>-5047818730</v>
          </cell>
          <cell r="F140">
            <v>-8903868088</v>
          </cell>
        </row>
        <row r="141">
          <cell r="A141" t="str">
            <v>21015</v>
          </cell>
          <cell r="B141" t="str">
            <v>RB-C-21015</v>
          </cell>
          <cell r="C141" t="str">
            <v/>
          </cell>
          <cell r="D141" t="str">
            <v>21015 Ac.liab.: Personnel related, others</v>
          </cell>
          <cell r="E141">
            <v>-141370516</v>
          </cell>
          <cell r="F141">
            <v>-342519492</v>
          </cell>
        </row>
        <row r="142">
          <cell r="A142" t="str">
            <v>21119</v>
          </cell>
          <cell r="B142" t="str">
            <v>RB-C-21119</v>
          </cell>
          <cell r="C142" t="str">
            <v/>
          </cell>
          <cell r="D142" t="str">
            <v>21119 Total: Accrued liab. personnel related</v>
          </cell>
          <cell r="E142">
            <v>-5189189246</v>
          </cell>
          <cell r="F142">
            <v>-9246387580</v>
          </cell>
        </row>
        <row r="143">
          <cell r="A143" t="str">
            <v>21144</v>
          </cell>
          <cell r="B143" t="str">
            <v>RB-C-21144</v>
          </cell>
          <cell r="C143" t="str">
            <v/>
          </cell>
          <cell r="D143" t="str">
            <v>21144 Ac.liab.: outstanding invoices</v>
          </cell>
          <cell r="E143">
            <v>-89267370</v>
          </cell>
          <cell r="F143">
            <v>-98754764.379999995</v>
          </cell>
        </row>
        <row r="144">
          <cell r="A144" t="str">
            <v>21179</v>
          </cell>
          <cell r="B144" t="str">
            <v>RB-C-21179</v>
          </cell>
          <cell r="C144" t="str">
            <v/>
          </cell>
          <cell r="D144" t="str">
            <v>21179 Total: Other accrued liabilities</v>
          </cell>
          <cell r="E144">
            <v>-89267370</v>
          </cell>
          <cell r="F144">
            <v>-98754764.379999995</v>
          </cell>
        </row>
        <row r="145">
          <cell r="A145" t="str">
            <v>21189</v>
          </cell>
          <cell r="B145" t="str">
            <v>RB-C-21189</v>
          </cell>
          <cell r="C145" t="str">
            <v/>
          </cell>
          <cell r="D145" t="str">
            <v>21189 Total: Accrued liabilities</v>
          </cell>
          <cell r="E145">
            <v>-5278456616</v>
          </cell>
          <cell r="F145">
            <v>-9345142344.3799992</v>
          </cell>
        </row>
        <row r="146">
          <cell r="A146" t="str">
            <v>2121A</v>
          </cell>
          <cell r="B146" t="str">
            <v>RB-C-2121A</v>
          </cell>
          <cell r="C146" t="str">
            <v/>
          </cell>
          <cell r="D146" t="str">
            <v/>
          </cell>
          <cell r="E146">
            <v>250265011.03</v>
          </cell>
          <cell r="F146">
            <v>-758225249.22000003</v>
          </cell>
        </row>
        <row r="147">
          <cell r="A147" t="str">
            <v>212JP</v>
          </cell>
          <cell r="B147" t="str">
            <v>RB-C-212JP</v>
          </cell>
          <cell r="C147" t="str">
            <v/>
          </cell>
          <cell r="D147" t="str">
            <v/>
          </cell>
          <cell r="E147">
            <v>-31051222.149999999</v>
          </cell>
          <cell r="F147">
            <v>-27336497.43</v>
          </cell>
        </row>
        <row r="148">
          <cell r="A148" t="str">
            <v>21210</v>
          </cell>
          <cell r="B148" t="str">
            <v>RB-C-21210</v>
          </cell>
          <cell r="C148" t="str">
            <v/>
          </cell>
          <cell r="D148" t="str">
            <v>21210 Other tax liabilities</v>
          </cell>
          <cell r="E148">
            <v>-580350048.12</v>
          </cell>
          <cell r="F148">
            <v>-785561746.64999998</v>
          </cell>
        </row>
        <row r="149">
          <cell r="A149" t="str">
            <v>21310</v>
          </cell>
          <cell r="B149" t="str">
            <v>RB-C-21310</v>
          </cell>
          <cell r="C149" t="str">
            <v/>
          </cell>
          <cell r="D149" t="str">
            <v>21310 Oth.sundry liab. =&lt;1 y.-Th.p., B-c, B-f</v>
          </cell>
          <cell r="E149">
            <v>-39957922.640000001</v>
          </cell>
          <cell r="F149">
            <v>-39957942.600000001</v>
          </cell>
        </row>
        <row r="150">
          <cell r="A150" t="str">
            <v>21317</v>
          </cell>
          <cell r="B150" t="str">
            <v>RB-C-21317</v>
          </cell>
          <cell r="C150" t="str">
            <v/>
          </cell>
          <cell r="D150" t="str">
            <v>21317 Liabilities from social security</v>
          </cell>
          <cell r="E150">
            <v>-94624006.299999997</v>
          </cell>
          <cell r="F150">
            <v>-247684755.78</v>
          </cell>
        </row>
        <row r="151">
          <cell r="A151" t="str">
            <v>21320</v>
          </cell>
          <cell r="B151" t="str">
            <v>RB-C-21320</v>
          </cell>
          <cell r="C151" t="str">
            <v/>
          </cell>
          <cell r="D151" t="str">
            <v>21320 Other sundry liabilities =&lt; 1 year - K</v>
          </cell>
          <cell r="E151">
            <v>-18546832</v>
          </cell>
          <cell r="F151">
            <v>-18546832</v>
          </cell>
        </row>
        <row r="152">
          <cell r="A152" t="str">
            <v>21390</v>
          </cell>
          <cell r="B152" t="str">
            <v>RB-C-21390</v>
          </cell>
          <cell r="C152" t="str">
            <v/>
          </cell>
          <cell r="D152" t="str">
            <v>21390 Liabil. to board memb., employees =&lt;1 y</v>
          </cell>
          <cell r="E152">
            <v>-777851079.73000002</v>
          </cell>
          <cell r="F152">
            <v>-1351324354.48</v>
          </cell>
        </row>
        <row r="153">
          <cell r="A153" t="str">
            <v>LC_OL</v>
          </cell>
          <cell r="B153" t="str">
            <v>RB-C-LC_OL</v>
          </cell>
          <cell r="C153" t="str">
            <v/>
          </cell>
          <cell r="D153" t="str">
            <v>Total LC_OL Total: Other liabilities &lt; 1 y</v>
          </cell>
          <cell r="E153">
            <v>-6789786504.79</v>
          </cell>
          <cell r="F153">
            <v>-11788217975.889999</v>
          </cell>
        </row>
        <row r="154">
          <cell r="A154" t="str">
            <v>23300</v>
          </cell>
          <cell r="B154" t="str">
            <v>RB-C-23300</v>
          </cell>
          <cell r="C154" t="str">
            <v/>
          </cell>
          <cell r="D154" t="str">
            <v>23300 Prov. for personnel adjustm. current</v>
          </cell>
          <cell r="E154">
            <v>-260000000</v>
          </cell>
          <cell r="F154">
            <v>0</v>
          </cell>
        </row>
        <row r="155">
          <cell r="A155" t="str">
            <v>23305</v>
          </cell>
          <cell r="B155" t="str">
            <v>RB-C-23305</v>
          </cell>
          <cell r="C155" t="str">
            <v/>
          </cell>
          <cell r="D155" t="str">
            <v>23305 Prov. f. employee anniversaries current</v>
          </cell>
          <cell r="E155">
            <v>-244275882</v>
          </cell>
          <cell r="F155">
            <v>-222296331</v>
          </cell>
        </row>
        <row r="156">
          <cell r="A156" t="str">
            <v>23315</v>
          </cell>
          <cell r="B156" t="str">
            <v>RB-C-23315</v>
          </cell>
          <cell r="C156" t="str">
            <v/>
          </cell>
          <cell r="D156" t="str">
            <v>23315 Provisions for deferred hours current</v>
          </cell>
          <cell r="E156">
            <v>-963786288</v>
          </cell>
          <cell r="F156">
            <v>-868550566</v>
          </cell>
        </row>
        <row r="157">
          <cell r="A157" t="str">
            <v>23318</v>
          </cell>
          <cell r="B157" t="str">
            <v>RB-C-23318</v>
          </cell>
          <cell r="C157" t="str">
            <v/>
          </cell>
          <cell r="D157" t="str">
            <v>23318 Other personnel related prov. current</v>
          </cell>
          <cell r="E157">
            <v>-973000000</v>
          </cell>
          <cell r="F157">
            <v>-3657810000</v>
          </cell>
        </row>
        <row r="158">
          <cell r="A158" t="str">
            <v>23319</v>
          </cell>
          <cell r="B158" t="str">
            <v>RB-C-23319</v>
          </cell>
          <cell r="C158" t="str">
            <v/>
          </cell>
          <cell r="D158" t="str">
            <v>23319 Personnel related provisions &lt; 1 y</v>
          </cell>
          <cell r="E158">
            <v>-2441062170</v>
          </cell>
          <cell r="F158">
            <v>-4748656897</v>
          </cell>
        </row>
        <row r="159">
          <cell r="A159" t="str">
            <v>23321</v>
          </cell>
          <cell r="B159" t="str">
            <v>RB-C-23321</v>
          </cell>
          <cell r="C159" t="str">
            <v/>
          </cell>
          <cell r="D159" t="str">
            <v>23321 Prov. for warr. comm. - general current</v>
          </cell>
          <cell r="E159">
            <v>-48213234</v>
          </cell>
          <cell r="F159">
            <v>-53750617.939999998</v>
          </cell>
        </row>
        <row r="160">
          <cell r="A160" t="str">
            <v>23339</v>
          </cell>
          <cell r="B160" t="str">
            <v>RB-C-23339</v>
          </cell>
          <cell r="C160" t="str">
            <v/>
          </cell>
          <cell r="D160" t="str">
            <v>23339 Sales related provisions &lt; 1 y</v>
          </cell>
          <cell r="E160">
            <v>-48213234</v>
          </cell>
          <cell r="F160">
            <v>-53750617.939999998</v>
          </cell>
        </row>
        <row r="161">
          <cell r="A161" t="str">
            <v>23361</v>
          </cell>
          <cell r="B161" t="str">
            <v>RB-C_23361</v>
          </cell>
          <cell r="C161" t="str">
            <v/>
          </cell>
          <cell r="D161" t="str">
            <v/>
          </cell>
          <cell r="E161">
            <v>-407492576</v>
          </cell>
          <cell r="F161">
            <v>0</v>
          </cell>
        </row>
        <row r="162">
          <cell r="A162" t="str">
            <v>23368</v>
          </cell>
          <cell r="B162" t="str">
            <v>RB-C-23368</v>
          </cell>
          <cell r="C162" t="str">
            <v/>
          </cell>
          <cell r="D162" t="str">
            <v>23368 Prov. for tax penalties</v>
          </cell>
          <cell r="E162">
            <v>-1774763788</v>
          </cell>
          <cell r="F162">
            <v>-1781933553</v>
          </cell>
        </row>
        <row r="163">
          <cell r="A163" t="str">
            <v>23369</v>
          </cell>
          <cell r="B163" t="str">
            <v>RB-C-23369</v>
          </cell>
          <cell r="C163" t="str">
            <v/>
          </cell>
          <cell r="D163" t="str">
            <v>23369 Sundry other provisions &lt; 1 y</v>
          </cell>
          <cell r="E163">
            <v>-2182256364</v>
          </cell>
          <cell r="F163">
            <v>-1781933553</v>
          </cell>
        </row>
        <row r="164">
          <cell r="A164" t="str">
            <v>23379</v>
          </cell>
          <cell r="B164" t="str">
            <v>RB-C-23379</v>
          </cell>
          <cell r="C164" t="str">
            <v/>
          </cell>
          <cell r="D164" t="str">
            <v/>
          </cell>
          <cell r="E164">
            <v>-4671531768</v>
          </cell>
          <cell r="F164">
            <v>-6584341067.9399996</v>
          </cell>
        </row>
        <row r="165">
          <cell r="A165" t="str">
            <v>LC_PR</v>
          </cell>
          <cell r="B165" t="str">
            <v>RB-C-LC_PR</v>
          </cell>
          <cell r="C165" t="str">
            <v/>
          </cell>
          <cell r="D165" t="str">
            <v>Total LC_PR Total: Current provisions</v>
          </cell>
          <cell r="E165">
            <v>-4671531768</v>
          </cell>
          <cell r="F165">
            <v>-6584341067.9399996</v>
          </cell>
        </row>
        <row r="166">
          <cell r="A166" t="str">
            <v>LC_TO</v>
          </cell>
          <cell r="B166" t="str">
            <v>RB-C-LC_TO</v>
          </cell>
          <cell r="C166" t="str">
            <v/>
          </cell>
          <cell r="D166" t="str">
            <v>Total LC_TO Total: Current liabilities</v>
          </cell>
          <cell r="E166">
            <v>-26383189192.98</v>
          </cell>
          <cell r="F166">
            <v>-35635505061.650002</v>
          </cell>
        </row>
        <row r="167">
          <cell r="A167" t="str">
            <v>24500</v>
          </cell>
          <cell r="B167" t="str">
            <v>RB-C-24500</v>
          </cell>
          <cell r="C167" t="str">
            <v/>
          </cell>
          <cell r="D167" t="str">
            <v>24500 Lease liabilities (lessee) &gt; 1 y</v>
          </cell>
          <cell r="E167">
            <v>-7780226888.8100004</v>
          </cell>
          <cell r="F167">
            <v>-7703310272.9899998</v>
          </cell>
        </row>
        <row r="168">
          <cell r="A168" t="str">
            <v>LN_LL</v>
          </cell>
          <cell r="B168" t="str">
            <v>RB-C-LN_LL</v>
          </cell>
          <cell r="C168" t="str">
            <v/>
          </cell>
          <cell r="D168" t="str">
            <v>Total LN_LL Total: Lease liab.(lessee)&gt;1y</v>
          </cell>
          <cell r="E168">
            <v>-7780226888.8100004</v>
          </cell>
          <cell r="F168">
            <v>-7703310272.9899998</v>
          </cell>
        </row>
        <row r="169">
          <cell r="A169" t="str">
            <v>25000</v>
          </cell>
          <cell r="B169" t="str">
            <v>RB-C-25000</v>
          </cell>
          <cell r="C169" t="str">
            <v/>
          </cell>
          <cell r="D169" t="str">
            <v>25000 CL: Sales over time &gt; 1 y - 3rd, N, B-a</v>
          </cell>
          <cell r="E169">
            <v>-459175924</v>
          </cell>
          <cell r="F169">
            <v>0</v>
          </cell>
        </row>
        <row r="170">
          <cell r="A170" t="str">
            <v>LN_CL</v>
          </cell>
          <cell r="B170" t="str">
            <v>RB-C-LN_CL</v>
          </cell>
          <cell r="C170" t="str">
            <v/>
          </cell>
          <cell r="D170" t="str">
            <v>Total LN_CL Total: Contract liabilities &gt; 1 y</v>
          </cell>
          <cell r="E170">
            <v>-459175924</v>
          </cell>
          <cell r="F170">
            <v>0</v>
          </cell>
        </row>
        <row r="171">
          <cell r="A171" t="str">
            <v>24380</v>
          </cell>
          <cell r="B171" t="str">
            <v>RB-C-24380</v>
          </cell>
          <cell r="C171" t="str">
            <v/>
          </cell>
          <cell r="D171" t="str">
            <v>24380 Liabil. to board memb.,employees &gt; 1 y.</v>
          </cell>
          <cell r="E171">
            <v>-47441099</v>
          </cell>
          <cell r="F171">
            <v>-227688916.59</v>
          </cell>
        </row>
        <row r="172">
          <cell r="A172" t="str">
            <v>LN_OL</v>
          </cell>
          <cell r="B172" t="str">
            <v>RB-C-LN_OL</v>
          </cell>
          <cell r="C172" t="str">
            <v/>
          </cell>
          <cell r="D172" t="str">
            <v>Total LN_OL Total: Other Liabilities &gt; 1 y</v>
          </cell>
          <cell r="E172">
            <v>-47441099</v>
          </cell>
          <cell r="F172">
            <v>-227688916.59</v>
          </cell>
        </row>
        <row r="173">
          <cell r="A173" t="str">
            <v>24060</v>
          </cell>
          <cell r="B173" t="str">
            <v>RB-C-24060</v>
          </cell>
          <cell r="C173" t="str">
            <v/>
          </cell>
          <cell r="D173" t="str">
            <v>24060 Provisions for pensions, similar oblig.</v>
          </cell>
          <cell r="E173">
            <v>-0.18000000715255737</v>
          </cell>
          <cell r="F173">
            <v>0.82</v>
          </cell>
        </row>
        <row r="174">
          <cell r="A174" t="str">
            <v>LN_PP</v>
          </cell>
          <cell r="B174" t="str">
            <v>RB-C-LN_PP</v>
          </cell>
          <cell r="C174" t="str">
            <v/>
          </cell>
          <cell r="D174" t="str">
            <v>Total LN_PP Total: Provisions for pensions</v>
          </cell>
          <cell r="E174">
            <v>-0.18000000715255737</v>
          </cell>
          <cell r="F174">
            <v>0.82</v>
          </cell>
        </row>
        <row r="175">
          <cell r="A175" t="str">
            <v>27050</v>
          </cell>
          <cell r="B175" t="str">
            <v>RB-C-27050</v>
          </cell>
          <cell r="C175" t="str">
            <v/>
          </cell>
          <cell r="D175" t="str">
            <v>27050 Income tax provisions &gt; 1 y</v>
          </cell>
          <cell r="E175">
            <v>-1.4</v>
          </cell>
          <cell r="F175">
            <v>0.44</v>
          </cell>
        </row>
        <row r="176">
          <cell r="A176" t="str">
            <v>LN_TP</v>
          </cell>
          <cell r="B176" t="str">
            <v>RB-C-LN_TP</v>
          </cell>
          <cell r="C176" t="str">
            <v/>
          </cell>
          <cell r="D176" t="str">
            <v>Total LN_TP Total: Income tax provisions &gt; 1y</v>
          </cell>
          <cell r="E176">
            <v>-1.4</v>
          </cell>
          <cell r="F176">
            <v>0.44</v>
          </cell>
        </row>
        <row r="177">
          <cell r="A177" t="str">
            <v>27105</v>
          </cell>
          <cell r="B177" t="str">
            <v>RB-C-27105</v>
          </cell>
          <cell r="C177" t="str">
            <v/>
          </cell>
          <cell r="D177" t="str">
            <v>27105 Prov. f. employ.anniversaries non curr.</v>
          </cell>
          <cell r="E177">
            <v>-2198482947</v>
          </cell>
          <cell r="F177">
            <v>-1990062633</v>
          </cell>
        </row>
        <row r="178">
          <cell r="A178" t="str">
            <v>27115</v>
          </cell>
          <cell r="B178" t="str">
            <v>RB-C-27115</v>
          </cell>
          <cell r="C178" t="str">
            <v/>
          </cell>
          <cell r="D178" t="str">
            <v>27115 Provisions for deferred hours non curr.</v>
          </cell>
          <cell r="E178">
            <v>-4390581984.3500004</v>
          </cell>
          <cell r="F178">
            <v>-4137278281.3499999</v>
          </cell>
        </row>
        <row r="179">
          <cell r="A179" t="str">
            <v>27118</v>
          </cell>
          <cell r="B179" t="str">
            <v>RB-C-27118</v>
          </cell>
          <cell r="C179" t="str">
            <v/>
          </cell>
          <cell r="D179" t="str">
            <v>27118 Other personnel related prov. non curr.</v>
          </cell>
          <cell r="E179">
            <v>0</v>
          </cell>
          <cell r="F179">
            <v>0</v>
          </cell>
        </row>
        <row r="180">
          <cell r="A180" t="str">
            <v>27119</v>
          </cell>
          <cell r="B180" t="str">
            <v>RB-C-27119</v>
          </cell>
          <cell r="C180" t="str">
            <v/>
          </cell>
          <cell r="D180" t="str">
            <v>27119 Personnel related provisions &gt; 1 y</v>
          </cell>
          <cell r="E180">
            <v>-6589064931.3500004</v>
          </cell>
          <cell r="F180">
            <v>-6127340914.3500004</v>
          </cell>
        </row>
        <row r="181">
          <cell r="A181" t="str">
            <v>27179</v>
          </cell>
          <cell r="B181" t="str">
            <v>RB-C-27179</v>
          </cell>
          <cell r="C181" t="str">
            <v/>
          </cell>
          <cell r="D181" t="str">
            <v/>
          </cell>
          <cell r="E181">
            <v>-6589064931.3500004</v>
          </cell>
          <cell r="F181">
            <v>-6127340914.3500004</v>
          </cell>
        </row>
        <row r="182">
          <cell r="A182" t="str">
            <v>LN_PR</v>
          </cell>
          <cell r="B182" t="str">
            <v>RB-C-LN_PR</v>
          </cell>
          <cell r="C182" t="str">
            <v/>
          </cell>
          <cell r="D182" t="str">
            <v>Total LN_PR Total: Non-current provisions</v>
          </cell>
          <cell r="E182">
            <v>-6589064931.3500004</v>
          </cell>
          <cell r="F182">
            <v>-6127340914.3500004</v>
          </cell>
        </row>
        <row r="183">
          <cell r="A183" t="str">
            <v>LN_TO</v>
          </cell>
          <cell r="B183" t="str">
            <v>RB-C-LN_TO</v>
          </cell>
          <cell r="C183" t="str">
            <v/>
          </cell>
          <cell r="D183" t="str">
            <v>Total LN_TO Total: Non-current liabilities</v>
          </cell>
          <cell r="E183">
            <v>-14875908844.74</v>
          </cell>
          <cell r="F183">
            <v>-14058340102.67</v>
          </cell>
        </row>
        <row r="184">
          <cell r="A184" t="str">
            <v>29000</v>
          </cell>
          <cell r="B184" t="str">
            <v>RB-C-29000</v>
          </cell>
          <cell r="C184" t="str">
            <v/>
          </cell>
          <cell r="D184" t="str">
            <v>29000 Subscribed capital</v>
          </cell>
          <cell r="E184">
            <v>-41597800</v>
          </cell>
          <cell r="F184">
            <v>-41597800</v>
          </cell>
        </row>
        <row r="185">
          <cell r="A185" t="str">
            <v>29305</v>
          </cell>
          <cell r="B185" t="str">
            <v>RB-C-29305</v>
          </cell>
          <cell r="C185" t="str">
            <v/>
          </cell>
          <cell r="D185" t="str">
            <v>29305 Statutory reserves</v>
          </cell>
          <cell r="E185">
            <v>-12388718192.41</v>
          </cell>
          <cell r="F185">
            <v>-12388718192.41</v>
          </cell>
        </row>
        <row r="186">
          <cell r="A186" t="str">
            <v>29330</v>
          </cell>
          <cell r="B186" t="str">
            <v>RB-C-29330</v>
          </cell>
          <cell r="C186" t="str">
            <v/>
          </cell>
          <cell r="D186" t="str">
            <v>29330 OCI: Actuarial gains/losses-gross</v>
          </cell>
          <cell r="E186">
            <v>-1064697469.6900001</v>
          </cell>
          <cell r="F186">
            <v>-777957109.69000006</v>
          </cell>
        </row>
        <row r="187">
          <cell r="A187" t="str">
            <v>29331</v>
          </cell>
          <cell r="B187" t="str">
            <v>RB-C-29331</v>
          </cell>
          <cell r="C187" t="str">
            <v/>
          </cell>
          <cell r="D187" t="str">
            <v>29331 OCI: Actuarial gains/losses-def. taxes</v>
          </cell>
          <cell r="E187">
            <v>267962939.81999999</v>
          </cell>
          <cell r="F187">
            <v>195796125.81999999</v>
          </cell>
        </row>
        <row r="188">
          <cell r="A188" t="str">
            <v>29332</v>
          </cell>
          <cell r="B188" t="str">
            <v>RB-C-29332</v>
          </cell>
          <cell r="C188" t="str">
            <v/>
          </cell>
          <cell r="D188" t="str">
            <v>29332 OCI: Actuarial gains/losses-net</v>
          </cell>
          <cell r="E188">
            <v>-796734529.87</v>
          </cell>
          <cell r="F188">
            <v>-582160983.87</v>
          </cell>
        </row>
        <row r="189">
          <cell r="A189" t="str">
            <v>2935A</v>
          </cell>
          <cell r="B189" t="str">
            <v>RB-C-2935A</v>
          </cell>
          <cell r="C189" t="str">
            <v/>
          </cell>
          <cell r="D189" t="str">
            <v/>
          </cell>
          <cell r="E189">
            <v>-28843539493.060001</v>
          </cell>
          <cell r="F189">
            <v>-22257674948.66</v>
          </cell>
        </row>
        <row r="190">
          <cell r="A190" t="str">
            <v>4</v>
          </cell>
          <cell r="B190" t="str">
            <v>4</v>
          </cell>
          <cell r="C190" t="str">
            <v/>
          </cell>
          <cell r="D190" t="str">
            <v>Net result: profit</v>
          </cell>
          <cell r="E190">
            <v>-10712209799.030001</v>
          </cell>
          <cell r="F190">
            <v>-18215609768.77</v>
          </cell>
        </row>
        <row r="191">
          <cell r="A191" t="str">
            <v>2935B</v>
          </cell>
          <cell r="B191" t="str">
            <v>RB-C-2935B</v>
          </cell>
          <cell r="C191" t="str">
            <v/>
          </cell>
          <cell r="D191" t="str">
            <v/>
          </cell>
          <cell r="E191">
            <v>-10712209799.030001</v>
          </cell>
          <cell r="F191">
            <v>-18215609768.77</v>
          </cell>
        </row>
        <row r="192">
          <cell r="A192" t="str">
            <v>29350</v>
          </cell>
          <cell r="B192" t="str">
            <v>RB-C-29350</v>
          </cell>
          <cell r="C192" t="str">
            <v/>
          </cell>
          <cell r="D192" t="str">
            <v>29350 Other revenue reserves</v>
          </cell>
          <cell r="E192">
            <v>-39555749292.089996</v>
          </cell>
          <cell r="F192">
            <v>-40473284717.43</v>
          </cell>
        </row>
        <row r="193">
          <cell r="A193" t="str">
            <v>29355</v>
          </cell>
          <cell r="B193" t="str">
            <v>RB-C-29355</v>
          </cell>
          <cell r="C193" t="str">
            <v/>
          </cell>
          <cell r="D193" t="str">
            <v>Total 29355 Oth.rev.K-int.Transf</v>
          </cell>
          <cell r="E193">
            <v>-122587600</v>
          </cell>
          <cell r="F193">
            <v>-122587600</v>
          </cell>
        </row>
        <row r="194">
          <cell r="A194" t="str">
            <v>29399</v>
          </cell>
          <cell r="B194" t="str">
            <v>RB-C-29399</v>
          </cell>
          <cell r="C194" t="str">
            <v/>
          </cell>
          <cell r="D194" t="str">
            <v>29399 Total: Earned surplus reserves</v>
          </cell>
          <cell r="E194">
            <v>-52863789614.620003</v>
          </cell>
          <cell r="F194">
            <v>-53566751493.709999</v>
          </cell>
        </row>
        <row r="195">
          <cell r="A195" t="str">
            <v>L_EQT</v>
          </cell>
          <cell r="B195" t="str">
            <v>RB-C-L_EQT</v>
          </cell>
          <cell r="C195" t="str">
            <v/>
          </cell>
          <cell r="D195" t="str">
            <v>Total L_EQT Total: Equity</v>
          </cell>
          <cell r="E195">
            <v>-52905387414.620003</v>
          </cell>
          <cell r="F195">
            <v>-53608349293.709999</v>
          </cell>
        </row>
        <row r="196">
          <cell r="A196" t="str">
            <v>L_TOT</v>
          </cell>
          <cell r="B196" t="str">
            <v>RB-C-L_TOT</v>
          </cell>
          <cell r="C196" t="str">
            <v/>
          </cell>
          <cell r="D196" t="str">
            <v>Total L_TOT Total: Liabilities and equity</v>
          </cell>
          <cell r="E196">
            <v>-94164485452.339996</v>
          </cell>
          <cell r="F196">
            <v>-103302194458.03</v>
          </cell>
        </row>
        <row r="197">
          <cell r="A197" t="str">
            <v>400</v>
          </cell>
          <cell r="B197" t="str">
            <v>400</v>
          </cell>
          <cell r="C197" t="str">
            <v/>
          </cell>
          <cell r="D197" t="str">
            <v>Total Remuneration</v>
          </cell>
          <cell r="E197">
            <v>19286685831.639999</v>
          </cell>
          <cell r="F197">
            <v>48108718138.440002</v>
          </cell>
        </row>
        <row r="198">
          <cell r="A198" t="str">
            <v>402</v>
          </cell>
          <cell r="B198" t="str">
            <v>402</v>
          </cell>
          <cell r="C198" t="str">
            <v/>
          </cell>
          <cell r="D198" t="str">
            <v>Total Remuneration for paid leave</v>
          </cell>
          <cell r="E198">
            <v>472031293.01999998</v>
          </cell>
          <cell r="F198">
            <v>524005358.76999998</v>
          </cell>
        </row>
        <row r="199">
          <cell r="A199" t="str">
            <v>403</v>
          </cell>
          <cell r="B199" t="str">
            <v>403</v>
          </cell>
          <cell r="C199" t="str">
            <v/>
          </cell>
          <cell r="D199" t="str">
            <v>Total Compens. overtime &amp; extra pay for shift</v>
          </cell>
          <cell r="E199">
            <v>427409449</v>
          </cell>
          <cell r="F199">
            <v>28436675</v>
          </cell>
        </row>
        <row r="200">
          <cell r="A200" t="str">
            <v>404</v>
          </cell>
          <cell r="B200" t="str">
            <v>404</v>
          </cell>
          <cell r="C200" t="str">
            <v/>
          </cell>
          <cell r="D200" t="str">
            <v>Total Bonuses</v>
          </cell>
          <cell r="E200">
            <v>4722289826.4200001</v>
          </cell>
          <cell r="F200">
            <v>3366116663.8200002</v>
          </cell>
        </row>
        <row r="201">
          <cell r="A201" t="str">
            <v>4062</v>
          </cell>
          <cell r="B201" t="str">
            <v>4062</v>
          </cell>
          <cell r="C201" t="str">
            <v/>
          </cell>
          <cell r="D201" t="str">
            <v/>
          </cell>
          <cell r="E201">
            <v>1995848895.98</v>
          </cell>
          <cell r="F201">
            <v>4180751023.0900002</v>
          </cell>
        </row>
        <row r="202">
          <cell r="A202" t="str">
            <v>94011</v>
          </cell>
          <cell r="B202" t="str">
            <v>RB-C-94011</v>
          </cell>
          <cell r="C202" t="str">
            <v/>
          </cell>
          <cell r="D202" t="str">
            <v>94011 Personnel expenses - remuneration</v>
          </cell>
          <cell r="E202">
            <v>26904265296.060001</v>
          </cell>
          <cell r="F202">
            <v>56208027859.120003</v>
          </cell>
        </row>
        <row r="203">
          <cell r="A203" t="str">
            <v>4060</v>
          </cell>
          <cell r="B203" t="str">
            <v>4060</v>
          </cell>
          <cell r="C203" t="str">
            <v/>
          </cell>
          <cell r="D203" t="str">
            <v/>
          </cell>
          <cell r="E203">
            <v>209095921</v>
          </cell>
          <cell r="F203">
            <v>414941909</v>
          </cell>
        </row>
        <row r="204">
          <cell r="A204" t="str">
            <v>94012</v>
          </cell>
          <cell r="B204" t="str">
            <v>RB-C-94012</v>
          </cell>
          <cell r="C204" t="str">
            <v/>
          </cell>
          <cell r="D204" t="str">
            <v>94012 Personnel expenses - social security</v>
          </cell>
          <cell r="E204">
            <v>209095921</v>
          </cell>
          <cell r="F204">
            <v>414941909</v>
          </cell>
        </row>
        <row r="205">
          <cell r="A205" t="str">
            <v>4050</v>
          </cell>
          <cell r="B205" t="str">
            <v>4050</v>
          </cell>
          <cell r="C205" t="str">
            <v/>
          </cell>
          <cell r="D205" t="str">
            <v/>
          </cell>
          <cell r="E205">
            <v>-850770584</v>
          </cell>
          <cell r="F205">
            <v>1582107354.9300001</v>
          </cell>
        </row>
        <row r="206">
          <cell r="A206" t="str">
            <v>94013</v>
          </cell>
          <cell r="B206" t="str">
            <v>RB-C-94013</v>
          </cell>
          <cell r="C206" t="str">
            <v/>
          </cell>
          <cell r="D206" t="str">
            <v>94013 Personnel expenses - pension costs</v>
          </cell>
          <cell r="E206">
            <v>-850770584</v>
          </cell>
          <cell r="F206">
            <v>1582107354.9300001</v>
          </cell>
        </row>
        <row r="207">
          <cell r="A207" t="str">
            <v>94014</v>
          </cell>
          <cell r="B207" t="str">
            <v>RB-C-94014</v>
          </cell>
          <cell r="C207" t="str">
            <v/>
          </cell>
          <cell r="D207" t="str">
            <v>94014 Personnel exp. - other support paym.</v>
          </cell>
          <cell r="E207">
            <v>8815135.4100000001</v>
          </cell>
          <cell r="F207">
            <v>104875143.19</v>
          </cell>
        </row>
        <row r="208">
          <cell r="A208" t="str">
            <v>94019</v>
          </cell>
          <cell r="B208" t="str">
            <v>RB-C-94019</v>
          </cell>
          <cell r="C208" t="str">
            <v/>
          </cell>
          <cell r="D208" t="str">
            <v>94019 Total: Personnel expenses</v>
          </cell>
          <cell r="E208">
            <v>26271405768.470001</v>
          </cell>
          <cell r="F208">
            <v>58309952266.239998</v>
          </cell>
        </row>
        <row r="209">
          <cell r="A209" t="str">
            <v>07700</v>
          </cell>
          <cell r="B209" t="str">
            <v>P707700</v>
          </cell>
          <cell r="C209" t="str">
            <v/>
          </cell>
          <cell r="D209" t="str">
            <v/>
          </cell>
          <cell r="E209">
            <v>26271405768.470001</v>
          </cell>
          <cell r="F209">
            <v>58309952266.239998</v>
          </cell>
        </row>
        <row r="210">
          <cell r="A210" t="str">
            <v>394</v>
          </cell>
          <cell r="B210" t="str">
            <v>394</v>
          </cell>
          <cell r="C210" t="str">
            <v/>
          </cell>
          <cell r="D210" t="str">
            <v>Total Intra-company delivery of goods</v>
          </cell>
          <cell r="E210">
            <v>-1157805701.0799999</v>
          </cell>
          <cell r="F210">
            <v>-1414555925.1700001</v>
          </cell>
        </row>
        <row r="211">
          <cell r="A211" t="str">
            <v>395</v>
          </cell>
          <cell r="B211" t="str">
            <v>395</v>
          </cell>
          <cell r="C211" t="str">
            <v/>
          </cell>
          <cell r="D211" t="str">
            <v>Total Manufacturing costs of Intra-company de</v>
          </cell>
          <cell r="E211">
            <v>1155962965.8199999</v>
          </cell>
          <cell r="F211">
            <v>1412741435.4100001</v>
          </cell>
        </row>
        <row r="212">
          <cell r="A212" t="str">
            <v>394FF</v>
          </cell>
          <cell r="B212" t="str">
            <v>394FF</v>
          </cell>
          <cell r="C212" t="str">
            <v/>
          </cell>
          <cell r="D212" t="str">
            <v>Total Intra-company delivery / costs</v>
          </cell>
          <cell r="E212">
            <v>-1842735.26</v>
          </cell>
          <cell r="F212">
            <v>-1814489.76</v>
          </cell>
        </row>
        <row r="213">
          <cell r="A213" t="str">
            <v>420</v>
          </cell>
          <cell r="B213" t="str">
            <v>420</v>
          </cell>
          <cell r="C213" t="str">
            <v/>
          </cell>
          <cell r="D213" t="str">
            <v>Total Material cost &amp; purch.services for prod</v>
          </cell>
          <cell r="E213">
            <v>381465395.67000002</v>
          </cell>
          <cell r="F213">
            <v>48043447.270000003</v>
          </cell>
        </row>
        <row r="214">
          <cell r="A214" t="str">
            <v>423</v>
          </cell>
          <cell r="B214" t="str">
            <v>423</v>
          </cell>
          <cell r="C214" t="str">
            <v/>
          </cell>
          <cell r="D214" t="str">
            <v>Total Merchandise incl. cash discounts and bo</v>
          </cell>
          <cell r="E214">
            <v>724909754.51999998</v>
          </cell>
          <cell r="F214">
            <v>1684851820.0999999</v>
          </cell>
        </row>
        <row r="215">
          <cell r="A215" t="str">
            <v>424</v>
          </cell>
          <cell r="B215" t="str">
            <v>424</v>
          </cell>
          <cell r="C215" t="str">
            <v/>
          </cell>
          <cell r="D215" t="str">
            <v>Total Procurement of energy, fuels</v>
          </cell>
          <cell r="E215">
            <v>208969347.44</v>
          </cell>
          <cell r="F215">
            <v>606432989.63</v>
          </cell>
        </row>
        <row r="216">
          <cell r="A216" t="str">
            <v>426</v>
          </cell>
          <cell r="B216" t="str">
            <v>426</v>
          </cell>
          <cell r="C216" t="str">
            <v/>
          </cell>
          <cell r="D216" t="str">
            <v>Total Costs dependent on purchase for goods r</v>
          </cell>
          <cell r="E216">
            <v>44030861.68</v>
          </cell>
          <cell r="F216">
            <v>124256393.19</v>
          </cell>
        </row>
        <row r="217">
          <cell r="A217" t="str">
            <v>427</v>
          </cell>
          <cell r="B217" t="str">
            <v>427</v>
          </cell>
          <cell r="C217" t="str">
            <v/>
          </cell>
          <cell r="D217" t="str">
            <v>Total Mat.costs &amp; purch.services / hired labo</v>
          </cell>
          <cell r="E217">
            <v>2751179521.5500002</v>
          </cell>
          <cell r="F217">
            <v>5307167595.29</v>
          </cell>
        </row>
        <row r="218">
          <cell r="A218" t="str">
            <v>428</v>
          </cell>
          <cell r="B218" t="str">
            <v>428</v>
          </cell>
          <cell r="C218" t="str">
            <v/>
          </cell>
          <cell r="D218" t="str">
            <v>Total Tool costs</v>
          </cell>
          <cell r="E218">
            <v>8296</v>
          </cell>
          <cell r="F218">
            <v>94874.49</v>
          </cell>
        </row>
        <row r="219">
          <cell r="A219" t="str">
            <v>4407</v>
          </cell>
          <cell r="B219" t="str">
            <v>4407</v>
          </cell>
          <cell r="C219" t="str">
            <v/>
          </cell>
          <cell r="D219" t="str">
            <v/>
          </cell>
          <cell r="E219">
            <v>34801339.57</v>
          </cell>
          <cell r="F219">
            <v>47348551.200000003</v>
          </cell>
        </row>
        <row r="220">
          <cell r="A220" t="str">
            <v>4713</v>
          </cell>
          <cell r="B220" t="str">
            <v>4713</v>
          </cell>
          <cell r="C220" t="str">
            <v/>
          </cell>
          <cell r="D220" t="str">
            <v/>
          </cell>
          <cell r="E220">
            <v>68486307.890000001</v>
          </cell>
          <cell r="F220">
            <v>5801384.0999999996</v>
          </cell>
        </row>
        <row r="221">
          <cell r="A221" t="str">
            <v>4722</v>
          </cell>
          <cell r="B221" t="str">
            <v>4722</v>
          </cell>
          <cell r="C221" t="str">
            <v/>
          </cell>
          <cell r="D221" t="str">
            <v/>
          </cell>
          <cell r="E221">
            <v>-7042042.2000000002</v>
          </cell>
          <cell r="F221">
            <v>-10381145.869999999</v>
          </cell>
        </row>
        <row r="222">
          <cell r="A222" t="str">
            <v>4922</v>
          </cell>
          <cell r="B222" t="str">
            <v>4922</v>
          </cell>
          <cell r="C222" t="str">
            <v/>
          </cell>
          <cell r="D222" t="str">
            <v/>
          </cell>
          <cell r="E222">
            <v>-687663210.75999999</v>
          </cell>
          <cell r="F222">
            <v>-2610259658.9699998</v>
          </cell>
        </row>
        <row r="223">
          <cell r="A223" t="str">
            <v>94100</v>
          </cell>
          <cell r="B223" t="str">
            <v>RB-C-94100</v>
          </cell>
          <cell r="C223" t="str">
            <v/>
          </cell>
          <cell r="D223" t="str">
            <v>94100 Total costs of materials</v>
          </cell>
          <cell r="E223">
            <v>3517302836.0999999</v>
          </cell>
          <cell r="F223">
            <v>5201541760.6700001</v>
          </cell>
        </row>
        <row r="224">
          <cell r="A224" t="str">
            <v>94300</v>
          </cell>
          <cell r="B224" t="str">
            <v>RB-C-94300</v>
          </cell>
          <cell r="C224" t="str">
            <v/>
          </cell>
          <cell r="D224" t="str">
            <v>94300 Total Donations, tax deductible</v>
          </cell>
          <cell r="E224">
            <v>93120192.519999996</v>
          </cell>
          <cell r="F224">
            <v>338780647</v>
          </cell>
        </row>
        <row r="225">
          <cell r="A225" t="str">
            <v>511FF</v>
          </cell>
          <cell r="B225" t="str">
            <v>14511FF</v>
          </cell>
          <cell r="C225" t="str">
            <v/>
          </cell>
          <cell r="D225" t="str">
            <v/>
          </cell>
          <cell r="E225">
            <v>26985.63</v>
          </cell>
          <cell r="F225">
            <v>21129194.359999999</v>
          </cell>
        </row>
        <row r="226">
          <cell r="A226" t="str">
            <v>512FF</v>
          </cell>
          <cell r="B226" t="str">
            <v>14512FF</v>
          </cell>
          <cell r="C226" t="str">
            <v/>
          </cell>
          <cell r="D226" t="str">
            <v/>
          </cell>
          <cell r="E226">
            <v>3675158.06</v>
          </cell>
          <cell r="F226">
            <v>8004603.5499999998</v>
          </cell>
        </row>
        <row r="227">
          <cell r="A227" t="str">
            <v>94404</v>
          </cell>
          <cell r="B227" t="str">
            <v>RB-C-94404</v>
          </cell>
          <cell r="C227" t="str">
            <v/>
          </cell>
          <cell r="D227" t="str">
            <v/>
          </cell>
          <cell r="E227">
            <v>3702143.69</v>
          </cell>
          <cell r="F227">
            <v>29133797.91</v>
          </cell>
        </row>
        <row r="228">
          <cell r="A228" t="str">
            <v>N.IS</v>
          </cell>
          <cell r="B228" t="str">
            <v>N.IS</v>
          </cell>
          <cell r="C228" t="str">
            <v/>
          </cell>
          <cell r="D228" t="str">
            <v>N.IS Notes related to the Income Statement</v>
          </cell>
          <cell r="E228">
            <v>29885530940.779999</v>
          </cell>
          <cell r="F228">
            <v>63879434634.779999</v>
          </cell>
        </row>
        <row r="229">
          <cell r="A229" t="str">
            <v>99110</v>
          </cell>
          <cell r="B229" t="str">
            <v>P2_99110</v>
          </cell>
          <cell r="C229" t="str">
            <v/>
          </cell>
          <cell r="D229" t="str">
            <v>Total P2_99110 Own work cap.on tang.fixed ass</v>
          </cell>
          <cell r="E229">
            <v>-570069</v>
          </cell>
          <cell r="F229">
            <v>-4553047.16</v>
          </cell>
        </row>
        <row r="230">
          <cell r="A230" t="str">
            <v>99210</v>
          </cell>
          <cell r="B230" t="str">
            <v>P2_99210</v>
          </cell>
          <cell r="C230" t="str">
            <v/>
          </cell>
          <cell r="D230" t="str">
            <v>Total P2_99210 Expenses for temporary workers</v>
          </cell>
          <cell r="E230">
            <v>158806210.03999999</v>
          </cell>
          <cell r="F230">
            <v>234680490.94</v>
          </cell>
        </row>
        <row r="231">
          <cell r="A231" t="str">
            <v>N.T9</v>
          </cell>
          <cell r="B231" t="str">
            <v>N.T9</v>
          </cell>
          <cell r="C231" t="str">
            <v/>
          </cell>
          <cell r="D231" t="str">
            <v/>
          </cell>
          <cell r="E231">
            <v>158236141.03999999</v>
          </cell>
          <cell r="F231">
            <v>230127443.78</v>
          </cell>
        </row>
        <row r="232">
          <cell r="A232" t="str">
            <v>E UFE</v>
          </cell>
          <cell r="B232" t="str">
            <v>CHANGE UFE</v>
          </cell>
          <cell r="C232" t="str">
            <v/>
          </cell>
          <cell r="D232" t="str">
            <v>Total Change unfinished goods</v>
          </cell>
          <cell r="E232">
            <v>-44489004.609999999</v>
          </cell>
          <cell r="F232">
            <v>-54404675.450000003</v>
          </cell>
        </row>
        <row r="233">
          <cell r="A233" t="str">
            <v>E UFE</v>
          </cell>
          <cell r="B233" t="str">
            <v>CHG FE UFE</v>
          </cell>
          <cell r="C233" t="str">
            <v/>
          </cell>
          <cell r="D233" t="str">
            <v>Total Finished and unfinished goods</v>
          </cell>
          <cell r="E233">
            <v>-44489004.609999999</v>
          </cell>
          <cell r="F233">
            <v>-54404675.450000003</v>
          </cell>
        </row>
        <row r="234">
          <cell r="A234" t="str">
            <v>300</v>
          </cell>
          <cell r="B234" t="str">
            <v>300</v>
          </cell>
          <cell r="C234" t="str">
            <v/>
          </cell>
          <cell r="D234" t="str">
            <v>Total Sales from deliveries of goods and merc</v>
          </cell>
          <cell r="E234">
            <v>-635217869.59000003</v>
          </cell>
          <cell r="F234">
            <v>-2529117028.6900001</v>
          </cell>
        </row>
        <row r="235">
          <cell r="A235" t="str">
            <v>30</v>
          </cell>
          <cell r="B235" t="str">
            <v>30</v>
          </cell>
          <cell r="C235" t="str">
            <v/>
          </cell>
          <cell r="D235" t="str">
            <v>Total Sales from deliveries of goods and merc</v>
          </cell>
          <cell r="E235">
            <v>-635217869.59000003</v>
          </cell>
          <cell r="F235">
            <v>-2529117028.6900001</v>
          </cell>
        </row>
        <row r="236">
          <cell r="A236" t="str">
            <v>310</v>
          </cell>
          <cell r="B236" t="str">
            <v>310</v>
          </cell>
          <cell r="C236" t="str">
            <v/>
          </cell>
          <cell r="D236" t="str">
            <v>Total Sales from services</v>
          </cell>
          <cell r="E236">
            <v>-1445171474.45</v>
          </cell>
          <cell r="F236">
            <v>-3389179543.4099998</v>
          </cell>
        </row>
        <row r="237">
          <cell r="A237" t="str">
            <v>311</v>
          </cell>
          <cell r="B237" t="str">
            <v>311</v>
          </cell>
          <cell r="C237" t="str">
            <v/>
          </cell>
          <cell r="D237" t="str">
            <v>Total Sales from others</v>
          </cell>
          <cell r="E237">
            <v>-29720</v>
          </cell>
          <cell r="F237">
            <v>-500817.24</v>
          </cell>
        </row>
        <row r="238">
          <cell r="A238" t="str">
            <v>31</v>
          </cell>
          <cell r="B238" t="str">
            <v>31</v>
          </cell>
          <cell r="C238" t="str">
            <v/>
          </cell>
          <cell r="D238" t="str">
            <v>Total Sales from services and others</v>
          </cell>
          <cell r="E238">
            <v>-1445201194.45</v>
          </cell>
          <cell r="F238">
            <v>-3389680360.6500001</v>
          </cell>
        </row>
        <row r="239">
          <cell r="A239" t="str">
            <v>320</v>
          </cell>
          <cell r="B239" t="str">
            <v>320</v>
          </cell>
          <cell r="C239" t="str">
            <v/>
          </cell>
          <cell r="D239" t="str">
            <v>Total Sales from research &amp; development activ</v>
          </cell>
          <cell r="E239">
            <v>-55773663226.040001</v>
          </cell>
          <cell r="F239">
            <v>-111364294304.92999</v>
          </cell>
        </row>
        <row r="240">
          <cell r="A240" t="str">
            <v>32</v>
          </cell>
          <cell r="B240" t="str">
            <v>32</v>
          </cell>
          <cell r="C240" t="str">
            <v/>
          </cell>
          <cell r="D240" t="str">
            <v>Total Sales from research &amp; development activ</v>
          </cell>
          <cell r="E240">
            <v>-55773663226.040001</v>
          </cell>
          <cell r="F240">
            <v>-111364294304.92999</v>
          </cell>
        </row>
        <row r="241">
          <cell r="A241" t="str">
            <v>330</v>
          </cell>
          <cell r="B241" t="str">
            <v>330</v>
          </cell>
          <cell r="C241" t="str">
            <v/>
          </cell>
          <cell r="D241" t="str">
            <v>Total Sales from sales related activities</v>
          </cell>
          <cell r="E241">
            <v>-24720440.850000001</v>
          </cell>
          <cell r="F241">
            <v>-41727030.689999998</v>
          </cell>
        </row>
        <row r="242">
          <cell r="A242" t="str">
            <v>33</v>
          </cell>
          <cell r="B242" t="str">
            <v>33</v>
          </cell>
          <cell r="C242" t="str">
            <v/>
          </cell>
          <cell r="D242" t="str">
            <v>Total Sales from sales related activities</v>
          </cell>
          <cell r="E242">
            <v>-24720440.850000001</v>
          </cell>
          <cell r="F242">
            <v>-41727030.689999998</v>
          </cell>
        </row>
        <row r="243">
          <cell r="A243" t="str">
            <v>350</v>
          </cell>
          <cell r="B243" t="str">
            <v>350</v>
          </cell>
          <cell r="C243" t="str">
            <v/>
          </cell>
          <cell r="D243" t="str">
            <v>Total Manufacturing licence fees</v>
          </cell>
          <cell r="E243">
            <v>-297715030.41000003</v>
          </cell>
          <cell r="F243">
            <v>-543540702.59000003</v>
          </cell>
        </row>
        <row r="244">
          <cell r="A244" t="str">
            <v>35</v>
          </cell>
          <cell r="B244" t="str">
            <v>35</v>
          </cell>
          <cell r="C244" t="str">
            <v/>
          </cell>
          <cell r="D244" t="str">
            <v>Total Sales from licences</v>
          </cell>
          <cell r="E244">
            <v>-297715030.41000003</v>
          </cell>
          <cell r="F244">
            <v>-543540702.59000003</v>
          </cell>
        </row>
        <row r="245">
          <cell r="A245" t="str">
            <v>390</v>
          </cell>
          <cell r="B245" t="str">
            <v>390</v>
          </cell>
          <cell r="C245" t="str">
            <v/>
          </cell>
          <cell r="D245" t="str">
            <v>Total Income from reallocated overhead cost</v>
          </cell>
          <cell r="E245">
            <v>1842735.18</v>
          </cell>
          <cell r="F245">
            <v>1814489.76</v>
          </cell>
        </row>
        <row r="246">
          <cell r="A246" t="str">
            <v>39</v>
          </cell>
          <cell r="B246" t="str">
            <v>39</v>
          </cell>
          <cell r="C246" t="str">
            <v/>
          </cell>
          <cell r="D246" t="str">
            <v>Total Other income (realloc.overhead costs et</v>
          </cell>
          <cell r="E246">
            <v>1842735.18</v>
          </cell>
          <cell r="F246">
            <v>1814489.76</v>
          </cell>
        </row>
        <row r="247">
          <cell r="A247" t="str">
            <v>00000</v>
          </cell>
          <cell r="B247" t="str">
            <v>300000000</v>
          </cell>
          <cell r="C247" t="str">
            <v/>
          </cell>
          <cell r="D247" t="str">
            <v>Total Sales, sales allowances, other income</v>
          </cell>
          <cell r="E247">
            <v>-58174675026.160004</v>
          </cell>
          <cell r="F247">
            <v>-117866544937.78999</v>
          </cell>
        </row>
        <row r="248">
          <cell r="A248" t="str">
            <v>48</v>
          </cell>
          <cell r="B248" t="str">
            <v>48</v>
          </cell>
          <cell r="C248" t="str">
            <v/>
          </cell>
          <cell r="D248" t="str">
            <v/>
          </cell>
          <cell r="E248">
            <v>2051421630.49</v>
          </cell>
          <cell r="F248">
            <v>4368895577.5799999</v>
          </cell>
        </row>
        <row r="249">
          <cell r="A249" t="str">
            <v>410</v>
          </cell>
          <cell r="B249" t="str">
            <v>410</v>
          </cell>
          <cell r="C249" t="str">
            <v/>
          </cell>
          <cell r="D249" t="str">
            <v>Total Travel costs</v>
          </cell>
          <cell r="E249">
            <v>1466186045.97</v>
          </cell>
          <cell r="F249">
            <v>2913392652.5</v>
          </cell>
        </row>
        <row r="250">
          <cell r="A250" t="str">
            <v>411</v>
          </cell>
          <cell r="B250" t="str">
            <v>411</v>
          </cell>
          <cell r="C250" t="str">
            <v/>
          </cell>
          <cell r="D250" t="str">
            <v>Total Entertainment expenses</v>
          </cell>
          <cell r="E250">
            <v>987409.33</v>
          </cell>
          <cell r="F250">
            <v>11865562.23</v>
          </cell>
        </row>
        <row r="251">
          <cell r="A251" t="str">
            <v>412</v>
          </cell>
          <cell r="B251" t="str">
            <v>412</v>
          </cell>
          <cell r="C251" t="str">
            <v/>
          </cell>
          <cell r="D251" t="str">
            <v>Total Vocational training</v>
          </cell>
          <cell r="E251">
            <v>188132222.34</v>
          </cell>
          <cell r="F251">
            <v>658050289.76999998</v>
          </cell>
        </row>
        <row r="252">
          <cell r="A252" t="str">
            <v>413</v>
          </cell>
          <cell r="B252" t="str">
            <v>413</v>
          </cell>
          <cell r="C252" t="str">
            <v/>
          </cell>
          <cell r="D252" t="str">
            <v>Total Occupational safety, work wear</v>
          </cell>
          <cell r="E252">
            <v>142624821.22999999</v>
          </cell>
          <cell r="F252">
            <v>322665367.19</v>
          </cell>
        </row>
        <row r="253">
          <cell r="A253" t="str">
            <v>414</v>
          </cell>
          <cell r="B253" t="str">
            <v>414</v>
          </cell>
          <cell r="C253" t="str">
            <v/>
          </cell>
          <cell r="D253" t="str">
            <v>Total Catering</v>
          </cell>
          <cell r="E253">
            <v>45196540.579999998</v>
          </cell>
          <cell r="F253">
            <v>612205397.88999999</v>
          </cell>
        </row>
        <row r="254">
          <cell r="A254" t="str">
            <v>415</v>
          </cell>
          <cell r="B254" t="str">
            <v>415</v>
          </cell>
          <cell r="C254" t="str">
            <v/>
          </cell>
          <cell r="D254" t="str">
            <v>Total Other personnel-oriented material costs</v>
          </cell>
          <cell r="E254">
            <v>738486998.04999995</v>
          </cell>
          <cell r="F254">
            <v>856094734.71000004</v>
          </cell>
        </row>
        <row r="255">
          <cell r="A255" t="str">
            <v>41</v>
          </cell>
          <cell r="B255" t="str">
            <v>41</v>
          </cell>
          <cell r="C255" t="str">
            <v/>
          </cell>
          <cell r="D255" t="str">
            <v>Total Personnel-oriented material costs</v>
          </cell>
          <cell r="E255">
            <v>2581614037.5</v>
          </cell>
          <cell r="F255">
            <v>5374274004.29</v>
          </cell>
        </row>
        <row r="256">
          <cell r="A256" t="str">
            <v>440</v>
          </cell>
          <cell r="B256" t="str">
            <v>440</v>
          </cell>
          <cell r="C256" t="str">
            <v/>
          </cell>
          <cell r="D256" t="str">
            <v>Total Research and development I</v>
          </cell>
          <cell r="E256">
            <v>223662059.87</v>
          </cell>
          <cell r="F256">
            <v>442811669.18000001</v>
          </cell>
        </row>
        <row r="257">
          <cell r="A257" t="str">
            <v>442</v>
          </cell>
          <cell r="B257" t="str">
            <v>442</v>
          </cell>
          <cell r="C257" t="str">
            <v/>
          </cell>
          <cell r="D257" t="str">
            <v>Total Sales: Advertising I</v>
          </cell>
          <cell r="E257">
            <v>-8917598.8100000005</v>
          </cell>
          <cell r="F257">
            <v>18499535.68</v>
          </cell>
        </row>
        <row r="258">
          <cell r="A258" t="str">
            <v>443</v>
          </cell>
          <cell r="B258" t="str">
            <v>443</v>
          </cell>
          <cell r="C258" t="str">
            <v/>
          </cell>
          <cell r="D258" t="str">
            <v>Total Sales: Advertising II</v>
          </cell>
          <cell r="E258">
            <v>23510474.309999999</v>
          </cell>
          <cell r="F258">
            <v>44081176.289999999</v>
          </cell>
        </row>
        <row r="259">
          <cell r="A259" t="str">
            <v>444</v>
          </cell>
          <cell r="B259" t="str">
            <v>444</v>
          </cell>
          <cell r="C259" t="str">
            <v/>
          </cell>
          <cell r="D259" t="str">
            <v>Total Sales: Trade fairs / sales promotion</v>
          </cell>
          <cell r="E259">
            <v>27707089.93</v>
          </cell>
          <cell r="F259">
            <v>103822966.5</v>
          </cell>
        </row>
        <row r="260">
          <cell r="A260" t="str">
            <v>445</v>
          </cell>
          <cell r="B260" t="str">
            <v>445</v>
          </cell>
          <cell r="C260" t="str">
            <v/>
          </cell>
          <cell r="D260" t="str">
            <v>Total Sales:Warranty,recall activities;del.co</v>
          </cell>
          <cell r="E260">
            <v>-3070912.22</v>
          </cell>
          <cell r="F260">
            <v>74349121.069999993</v>
          </cell>
        </row>
        <row r="261">
          <cell r="A261" t="str">
            <v>447</v>
          </cell>
          <cell r="B261" t="str">
            <v>447</v>
          </cell>
          <cell r="C261" t="str">
            <v/>
          </cell>
          <cell r="D261" t="str">
            <v>Total Sales: Outgoing freight and commissions</v>
          </cell>
          <cell r="E261">
            <v>66545.8</v>
          </cell>
          <cell r="F261">
            <v>695277</v>
          </cell>
        </row>
        <row r="262">
          <cell r="A262" t="str">
            <v>44</v>
          </cell>
          <cell r="B262" t="str">
            <v>44</v>
          </cell>
          <cell r="C262" t="str">
            <v/>
          </cell>
          <cell r="D262" t="str">
            <v>Total Research and development and sales</v>
          </cell>
          <cell r="E262">
            <v>262957658.88</v>
          </cell>
          <cell r="F262">
            <v>684259745.72000003</v>
          </cell>
        </row>
        <row r="263">
          <cell r="A263" t="str">
            <v>450</v>
          </cell>
          <cell r="B263" t="str">
            <v>450</v>
          </cell>
          <cell r="C263" t="str">
            <v/>
          </cell>
          <cell r="D263" t="str">
            <v>Total Maintenance costs - third parties</v>
          </cell>
          <cell r="E263">
            <v>78269395.019999996</v>
          </cell>
          <cell r="F263">
            <v>-274604286.92000002</v>
          </cell>
        </row>
        <row r="264">
          <cell r="A264" t="str">
            <v>510FF</v>
          </cell>
          <cell r="B264" t="str">
            <v>14510FF</v>
          </cell>
          <cell r="C264" t="str">
            <v/>
          </cell>
          <cell r="D264" t="str">
            <v/>
          </cell>
          <cell r="E264">
            <v>717377112.35000002</v>
          </cell>
          <cell r="F264">
            <v>1447278537.9300001</v>
          </cell>
        </row>
        <row r="265">
          <cell r="A265" t="str">
            <v>452</v>
          </cell>
          <cell r="B265" t="str">
            <v>452</v>
          </cell>
          <cell r="C265" t="str">
            <v/>
          </cell>
          <cell r="D265" t="str">
            <v>Total Communication costs and IT costs</v>
          </cell>
          <cell r="E265">
            <v>7153523482.4099998</v>
          </cell>
          <cell r="F265">
            <v>18088180964.889999</v>
          </cell>
        </row>
        <row r="266">
          <cell r="A266" t="str">
            <v>453</v>
          </cell>
          <cell r="B266" t="str">
            <v>453</v>
          </cell>
          <cell r="C266" t="str">
            <v/>
          </cell>
          <cell r="D266" t="str">
            <v>Total Insurance premiums and indemnifications</v>
          </cell>
          <cell r="E266">
            <v>32057383.48</v>
          </cell>
          <cell r="F266">
            <v>29367</v>
          </cell>
        </row>
        <row r="267">
          <cell r="A267" t="str">
            <v>454</v>
          </cell>
          <cell r="B267" t="str">
            <v>454</v>
          </cell>
          <cell r="C267" t="str">
            <v/>
          </cell>
          <cell r="D267" t="str">
            <v>Total Taxes (indepen. of  income), contributi</v>
          </cell>
          <cell r="E267">
            <v>24705879.870000001</v>
          </cell>
          <cell r="F267">
            <v>1139930534.6700001</v>
          </cell>
        </row>
        <row r="268">
          <cell r="A268" t="str">
            <v>455</v>
          </cell>
          <cell r="B268" t="str">
            <v>455</v>
          </cell>
          <cell r="C268" t="str">
            <v/>
          </cell>
          <cell r="D268" t="str">
            <v>Total Reloc. expenses &amp; transport costs(excl.</v>
          </cell>
          <cell r="E268">
            <v>193908.76</v>
          </cell>
          <cell r="F268">
            <v>1632710.88</v>
          </cell>
        </row>
        <row r="269">
          <cell r="A269" t="str">
            <v>456</v>
          </cell>
          <cell r="B269" t="str">
            <v>456</v>
          </cell>
          <cell r="C269" t="str">
            <v/>
          </cell>
          <cell r="D269" t="str">
            <v>Total Public relations and special literature</v>
          </cell>
          <cell r="E269">
            <v>453405.15</v>
          </cell>
          <cell r="F269">
            <v>1276639.3</v>
          </cell>
        </row>
        <row r="270">
          <cell r="A270" t="str">
            <v>457</v>
          </cell>
          <cell r="B270" t="str">
            <v>457</v>
          </cell>
          <cell r="C270" t="str">
            <v/>
          </cell>
          <cell r="D270" t="str">
            <v>Total Consulting expenses (without IT)</v>
          </cell>
          <cell r="E270">
            <v>1990545600.53</v>
          </cell>
          <cell r="F270">
            <v>-1713895350.6700001</v>
          </cell>
        </row>
        <row r="271">
          <cell r="A271" t="str">
            <v>459</v>
          </cell>
          <cell r="B271" t="str">
            <v>459</v>
          </cell>
          <cell r="C271" t="str">
            <v/>
          </cell>
          <cell r="D271" t="str">
            <v>Total Other costs</v>
          </cell>
          <cell r="E271">
            <v>-152764146.09999999</v>
          </cell>
          <cell r="F271">
            <v>2768684844.1300001</v>
          </cell>
        </row>
        <row r="272">
          <cell r="A272" t="str">
            <v>45</v>
          </cell>
          <cell r="B272" t="str">
            <v>45</v>
          </cell>
          <cell r="C272" t="str">
            <v/>
          </cell>
          <cell r="D272" t="str">
            <v>Total Other costs - thrid parties</v>
          </cell>
          <cell r="E272">
            <v>9844362021.4699993</v>
          </cell>
          <cell r="F272">
            <v>21458513961.209999</v>
          </cell>
        </row>
        <row r="273">
          <cell r="A273" t="str">
            <v>00000</v>
          </cell>
          <cell r="B273" t="str">
            <v>400000000</v>
          </cell>
          <cell r="C273" t="str">
            <v/>
          </cell>
          <cell r="D273" t="str">
            <v>Total Costs</v>
          </cell>
          <cell r="E273">
            <v>14740355348.34</v>
          </cell>
          <cell r="F273">
            <v>31885943288.799999</v>
          </cell>
        </row>
        <row r="274">
          <cell r="A274" t="str">
            <v>600</v>
          </cell>
          <cell r="B274" t="str">
            <v>600</v>
          </cell>
          <cell r="C274" t="str">
            <v/>
          </cell>
          <cell r="D274" t="str">
            <v>Total Income and expenses from provisions</v>
          </cell>
          <cell r="E274">
            <v>45691452</v>
          </cell>
          <cell r="F274">
            <v>-1400127828.6199999</v>
          </cell>
        </row>
        <row r="275">
          <cell r="A275" t="str">
            <v>60</v>
          </cell>
          <cell r="B275" t="str">
            <v>60</v>
          </cell>
          <cell r="C275" t="str">
            <v/>
          </cell>
          <cell r="D275" t="str">
            <v>Total Income/expense provisions &amp; accru.liabi</v>
          </cell>
          <cell r="E275">
            <v>45691452</v>
          </cell>
          <cell r="F275">
            <v>-1400127828.6199999</v>
          </cell>
        </row>
        <row r="276">
          <cell r="A276" t="str">
            <v>630</v>
          </cell>
          <cell r="B276" t="str">
            <v>630</v>
          </cell>
          <cell r="C276" t="str">
            <v/>
          </cell>
          <cell r="D276" t="str">
            <v>Total Realized&amp;unrealized exch. rate gains re</v>
          </cell>
          <cell r="E276">
            <v>-894933032.88</v>
          </cell>
          <cell r="F276">
            <v>-1178366623.1700001</v>
          </cell>
        </row>
        <row r="277">
          <cell r="A277" t="str">
            <v>631</v>
          </cell>
          <cell r="B277" t="str">
            <v>631</v>
          </cell>
          <cell r="C277" t="str">
            <v/>
          </cell>
          <cell r="D277" t="str">
            <v>Total Realized&amp;unrealized exch. rate gains li</v>
          </cell>
          <cell r="E277">
            <v>-17826003.920000002</v>
          </cell>
          <cell r="F277">
            <v>-78864951.519999996</v>
          </cell>
        </row>
        <row r="278">
          <cell r="A278" t="str">
            <v>63</v>
          </cell>
          <cell r="B278" t="str">
            <v>63</v>
          </cell>
          <cell r="C278" t="str">
            <v/>
          </cell>
          <cell r="D278" t="str">
            <v>Total Other gains / income</v>
          </cell>
          <cell r="E278">
            <v>-912759036.79999995</v>
          </cell>
          <cell r="F278">
            <v>-1349567218.4000001</v>
          </cell>
        </row>
        <row r="279">
          <cell r="A279" t="str">
            <v>640</v>
          </cell>
          <cell r="B279" t="str">
            <v>640</v>
          </cell>
          <cell r="C279" t="str">
            <v/>
          </cell>
          <cell r="D279" t="str">
            <v>Total Income from disposal of tangible fixed</v>
          </cell>
          <cell r="E279">
            <v>-1838596.38</v>
          </cell>
          <cell r="F279">
            <v>-3069830.09</v>
          </cell>
        </row>
        <row r="280">
          <cell r="A280" t="str">
            <v>642</v>
          </cell>
          <cell r="B280" t="str">
            <v>642</v>
          </cell>
          <cell r="C280" t="str">
            <v/>
          </cell>
          <cell r="D280" t="str">
            <v>Total Income from disposal of other assets</v>
          </cell>
          <cell r="E280">
            <v>-679344.69</v>
          </cell>
          <cell r="F280">
            <v>-120218994.68000001</v>
          </cell>
        </row>
        <row r="281">
          <cell r="A281" t="str">
            <v>643</v>
          </cell>
          <cell r="B281" t="str">
            <v>643</v>
          </cell>
          <cell r="C281" t="str">
            <v/>
          </cell>
          <cell r="D281" t="str">
            <v>Total Income from rent, leasing commitments</v>
          </cell>
          <cell r="E281">
            <v>-21156511.550000001</v>
          </cell>
          <cell r="F281">
            <v>-459276040.17000002</v>
          </cell>
        </row>
        <row r="282">
          <cell r="A282" t="str">
            <v>64</v>
          </cell>
          <cell r="B282" t="str">
            <v>64</v>
          </cell>
          <cell r="C282" t="str">
            <v/>
          </cell>
          <cell r="D282" t="str">
            <v>Total Other operat  inc,fixed asset excl fina</v>
          </cell>
          <cell r="E282">
            <v>-23674452.620000001</v>
          </cell>
          <cell r="F282">
            <v>-582564864.94000006</v>
          </cell>
        </row>
        <row r="283">
          <cell r="A283" t="str">
            <v>650</v>
          </cell>
          <cell r="B283" t="str">
            <v>650</v>
          </cell>
          <cell r="C283" t="str">
            <v/>
          </cell>
          <cell r="D283" t="str">
            <v>Total Other operating income-third parties,B-</v>
          </cell>
          <cell r="E283">
            <v>-15215420.960000001</v>
          </cell>
          <cell r="F283">
            <v>41483538.479999997</v>
          </cell>
        </row>
        <row r="284">
          <cell r="A284" t="str">
            <v>65</v>
          </cell>
          <cell r="B284" t="str">
            <v>65</v>
          </cell>
          <cell r="C284" t="str">
            <v/>
          </cell>
          <cell r="D284" t="str">
            <v>Total Other operat. income, tax rec. for prev</v>
          </cell>
          <cell r="E284">
            <v>-15215420.960000001</v>
          </cell>
          <cell r="F284">
            <v>41483538.479999997</v>
          </cell>
        </row>
        <row r="285">
          <cell r="A285" t="str">
            <v>660</v>
          </cell>
          <cell r="B285" t="str">
            <v>660</v>
          </cell>
          <cell r="C285" t="str">
            <v/>
          </cell>
          <cell r="D285" t="str">
            <v>Total Realized &amp; unrealized exch. rate loss l</v>
          </cell>
          <cell r="E285">
            <v>171233024.06</v>
          </cell>
          <cell r="F285">
            <v>557576742.62</v>
          </cell>
        </row>
        <row r="286">
          <cell r="A286" t="str">
            <v>661</v>
          </cell>
          <cell r="B286" t="str">
            <v>661</v>
          </cell>
          <cell r="C286" t="str">
            <v/>
          </cell>
          <cell r="D286" t="str">
            <v>Total Realized &amp; unrealized exch. rate loss r</v>
          </cell>
          <cell r="E286">
            <v>179675894.84999999</v>
          </cell>
          <cell r="F286">
            <v>232206279.16</v>
          </cell>
        </row>
        <row r="287">
          <cell r="A287" t="str">
            <v>663</v>
          </cell>
          <cell r="B287" t="str">
            <v>663</v>
          </cell>
          <cell r="C287" t="str">
            <v/>
          </cell>
          <cell r="D287" t="str">
            <v/>
          </cell>
          <cell r="E287">
            <v>800703789.90999997</v>
          </cell>
          <cell r="F287">
            <v>1164517197.05</v>
          </cell>
        </row>
        <row r="288">
          <cell r="A288" t="str">
            <v>666</v>
          </cell>
          <cell r="B288" t="str">
            <v>666</v>
          </cell>
          <cell r="C288" t="str">
            <v/>
          </cell>
          <cell r="D288" t="str">
            <v>Total Losses creation of provision deprec. re</v>
          </cell>
          <cell r="E288">
            <v>103179599.63</v>
          </cell>
          <cell r="F288">
            <v>61497600.18</v>
          </cell>
        </row>
        <row r="289">
          <cell r="A289" t="str">
            <v>66</v>
          </cell>
          <cell r="B289" t="str">
            <v>66</v>
          </cell>
          <cell r="C289" t="str">
            <v/>
          </cell>
          <cell r="D289" t="str">
            <v>Total Exp. trade receivables,other assets # 1</v>
          </cell>
          <cell r="E289">
            <v>1254792308.45</v>
          </cell>
          <cell r="F289">
            <v>2104669630.1600001</v>
          </cell>
        </row>
        <row r="290">
          <cell r="A290" t="str">
            <v>670</v>
          </cell>
          <cell r="B290" t="str">
            <v>670</v>
          </cell>
          <cell r="C290" t="str">
            <v/>
          </cell>
          <cell r="D290" t="str">
            <v>Total Expense from disposal of tangible fixed</v>
          </cell>
          <cell r="E290">
            <v>2530327.42</v>
          </cell>
          <cell r="F290">
            <v>13342068.970000001</v>
          </cell>
        </row>
        <row r="291">
          <cell r="A291" t="str">
            <v>67</v>
          </cell>
          <cell r="B291" t="str">
            <v>67</v>
          </cell>
          <cell r="C291" t="str">
            <v/>
          </cell>
          <cell r="D291" t="str">
            <v>Total Oth oper. exp,exp from FA w/o financ. a</v>
          </cell>
          <cell r="E291">
            <v>2530327.42</v>
          </cell>
          <cell r="F291">
            <v>13342068.970000001</v>
          </cell>
        </row>
        <row r="292">
          <cell r="A292" t="str">
            <v>00000</v>
          </cell>
          <cell r="B292" t="str">
            <v>600000000</v>
          </cell>
          <cell r="C292" t="str">
            <v/>
          </cell>
          <cell r="D292" t="str">
            <v>Total Other operating income &amp; expense,deprec</v>
          </cell>
          <cell r="E292">
            <v>351365177.49000001</v>
          </cell>
          <cell r="F292">
            <v>-1172764674.3499999</v>
          </cell>
        </row>
        <row r="293">
          <cell r="A293" t="str">
            <v>710</v>
          </cell>
          <cell r="B293" t="str">
            <v>710</v>
          </cell>
          <cell r="C293" t="str">
            <v/>
          </cell>
          <cell r="D293" t="str">
            <v>Total Interest income</v>
          </cell>
          <cell r="E293">
            <v>-715941032.04999995</v>
          </cell>
          <cell r="F293">
            <v>-1448913255.02</v>
          </cell>
        </row>
        <row r="294">
          <cell r="A294" t="str">
            <v>711</v>
          </cell>
          <cell r="B294" t="str">
            <v>711</v>
          </cell>
          <cell r="C294" t="str">
            <v/>
          </cell>
          <cell r="D294" t="str">
            <v>Total Interest Expenses</v>
          </cell>
          <cell r="E294">
            <v>-79928545.599999994</v>
          </cell>
          <cell r="F294">
            <v>749414939.89999998</v>
          </cell>
        </row>
        <row r="295">
          <cell r="A295" t="str">
            <v>71</v>
          </cell>
          <cell r="B295" t="str">
            <v>71</v>
          </cell>
          <cell r="C295" t="str">
            <v/>
          </cell>
          <cell r="D295" t="str">
            <v>Total Interest result</v>
          </cell>
          <cell r="E295">
            <v>-795869577.64999998</v>
          </cell>
          <cell r="F295">
            <v>-699498315.12</v>
          </cell>
        </row>
        <row r="296">
          <cell r="A296" t="str">
            <v>721</v>
          </cell>
          <cell r="B296" t="str">
            <v>721</v>
          </cell>
          <cell r="C296" t="str">
            <v/>
          </cell>
          <cell r="D296" t="str">
            <v>Total Other financial results 2</v>
          </cell>
          <cell r="E296">
            <v>37305.050000000003</v>
          </cell>
          <cell r="F296">
            <v>0</v>
          </cell>
        </row>
        <row r="297">
          <cell r="A297" t="str">
            <v>722</v>
          </cell>
          <cell r="B297" t="str">
            <v>722</v>
          </cell>
          <cell r="C297" t="str">
            <v/>
          </cell>
          <cell r="D297" t="str">
            <v>Total Other financial results 3</v>
          </cell>
          <cell r="E297">
            <v>-0.31</v>
          </cell>
          <cell r="F297">
            <v>0</v>
          </cell>
        </row>
        <row r="298">
          <cell r="A298" t="str">
            <v>725</v>
          </cell>
          <cell r="B298" t="str">
            <v>725</v>
          </cell>
          <cell r="C298" t="str">
            <v/>
          </cell>
          <cell r="D298" t="str">
            <v>Total Other financial results 4</v>
          </cell>
          <cell r="E298">
            <v>257138611.25</v>
          </cell>
          <cell r="F298">
            <v>1131899295.1400001</v>
          </cell>
        </row>
        <row r="299">
          <cell r="A299" t="str">
            <v>729</v>
          </cell>
          <cell r="B299" t="str">
            <v>729</v>
          </cell>
          <cell r="C299" t="str">
            <v/>
          </cell>
          <cell r="D299" t="str">
            <v>Total Real. and not real. exchange rate fin.</v>
          </cell>
          <cell r="E299">
            <v>-236554710.94999999</v>
          </cell>
          <cell r="F299">
            <v>-470569042.75999999</v>
          </cell>
        </row>
        <row r="300">
          <cell r="A300" t="str">
            <v>72</v>
          </cell>
          <cell r="B300" t="str">
            <v>72</v>
          </cell>
          <cell r="C300" t="str">
            <v/>
          </cell>
          <cell r="D300" t="str">
            <v>Total Other financial results</v>
          </cell>
          <cell r="E300">
            <v>20621205.039999999</v>
          </cell>
          <cell r="F300">
            <v>661159081.98000002</v>
          </cell>
        </row>
        <row r="301">
          <cell r="A301" t="str">
            <v>751</v>
          </cell>
          <cell r="B301" t="str">
            <v>751</v>
          </cell>
          <cell r="C301" t="str">
            <v/>
          </cell>
          <cell r="D301" t="str">
            <v>Total Accrued income tax expenses - current y</v>
          </cell>
          <cell r="E301">
            <v>3961089665.0599999</v>
          </cell>
          <cell r="F301">
            <v>7193637897.4899998</v>
          </cell>
        </row>
        <row r="302">
          <cell r="A302" t="str">
            <v>758</v>
          </cell>
          <cell r="B302" t="str">
            <v>758</v>
          </cell>
          <cell r="C302" t="str">
            <v/>
          </cell>
          <cell r="D302" t="str">
            <v>Total Deferred tax expenses</v>
          </cell>
          <cell r="E302">
            <v>-771533694.36000001</v>
          </cell>
          <cell r="F302">
            <v>-1543067388.73</v>
          </cell>
        </row>
        <row r="303">
          <cell r="A303" t="str">
            <v>75</v>
          </cell>
          <cell r="B303" t="str">
            <v>75</v>
          </cell>
          <cell r="C303" t="str">
            <v/>
          </cell>
          <cell r="D303" t="str">
            <v>Total Taxes on income</v>
          </cell>
          <cell r="E303">
            <v>3189555970.6999998</v>
          </cell>
          <cell r="F303">
            <v>5650570508.7600002</v>
          </cell>
        </row>
        <row r="304">
          <cell r="A304" t="str">
            <v>00000</v>
          </cell>
          <cell r="B304" t="str">
            <v>700000000</v>
          </cell>
          <cell r="C304" t="str">
            <v/>
          </cell>
          <cell r="D304" t="str">
            <v>Total Financial result and taxes</v>
          </cell>
          <cell r="E304">
            <v>2414307598.0900002</v>
          </cell>
          <cell r="F304">
            <v>4882599151.8299999</v>
          </cell>
        </row>
        <row r="305">
          <cell r="A305" t="str">
            <v>998</v>
          </cell>
          <cell r="B305" t="str">
            <v>998</v>
          </cell>
          <cell r="C305" t="str">
            <v/>
          </cell>
          <cell r="D305" t="str">
            <v>P&amp;L Result</v>
          </cell>
          <cell r="E305">
            <v>10669368825.280001</v>
          </cell>
          <cell r="F305">
            <v>18215609768.77</v>
          </cell>
        </row>
        <row r="306">
          <cell r="A306" t="str">
            <v>P&amp;L</v>
          </cell>
          <cell r="B306" t="str">
            <v>P&amp;L</v>
          </cell>
          <cell r="C306" t="str">
            <v/>
          </cell>
          <cell r="D306" t="str">
            <v>Profit &amp; Loss (no CoS, no total cost method!)</v>
          </cell>
          <cell r="E306">
            <v>0.25</v>
          </cell>
          <cell r="F306">
            <v>0.37</v>
          </cell>
        </row>
        <row r="307">
          <cell r="A307" t="str">
            <v>T1001</v>
          </cell>
          <cell r="B307" t="str">
            <v>MIGRAT1001</v>
          </cell>
          <cell r="C307" t="str">
            <v/>
          </cell>
          <cell r="D307" t="str">
            <v>Total Migration offset accounts common</v>
          </cell>
          <cell r="E307">
            <v>-0.3</v>
          </cell>
          <cell r="F307">
            <v>-0.3</v>
          </cell>
        </row>
        <row r="308">
          <cell r="A308" t="str">
            <v>T1002</v>
          </cell>
          <cell r="B308" t="str">
            <v>MIGRAT1002</v>
          </cell>
          <cell r="C308" t="str">
            <v/>
          </cell>
          <cell r="D308" t="str">
            <v>Total Migration offset accounts IFRS</v>
          </cell>
          <cell r="E308">
            <v>0.85</v>
          </cell>
          <cell r="F308">
            <v>0.85</v>
          </cell>
        </row>
        <row r="309">
          <cell r="A309" t="str">
            <v>T1003</v>
          </cell>
          <cell r="B309" t="str">
            <v>MIGRAT1003</v>
          </cell>
          <cell r="C309" t="str">
            <v/>
          </cell>
          <cell r="D309" t="str">
            <v>Total Migration offset accounts Local GAAP</v>
          </cell>
          <cell r="E309">
            <v>-0.68</v>
          </cell>
          <cell r="F309">
            <v>-0.68</v>
          </cell>
        </row>
        <row r="310">
          <cell r="A310" t="str">
            <v>TION1</v>
          </cell>
          <cell r="B310" t="str">
            <v>MIGRATION1</v>
          </cell>
          <cell r="C310" t="str">
            <v/>
          </cell>
          <cell r="D310" t="str">
            <v>Total Migration offset accounts</v>
          </cell>
          <cell r="E310">
            <v>-0.13</v>
          </cell>
          <cell r="F310">
            <v>-0.13</v>
          </cell>
        </row>
        <row r="311">
          <cell r="A311" t="str">
            <v>T2001</v>
          </cell>
          <cell r="B311" t="str">
            <v>MIGRAT2001</v>
          </cell>
          <cell r="C311" t="str">
            <v/>
          </cell>
          <cell r="D311" t="str">
            <v>Total Suspense accounts for migration common</v>
          </cell>
          <cell r="E311">
            <v>1.65</v>
          </cell>
          <cell r="F311">
            <v>1.65</v>
          </cell>
        </row>
        <row r="312">
          <cell r="A312" t="str">
            <v>T2002</v>
          </cell>
          <cell r="B312" t="str">
            <v>MIGRAT2002</v>
          </cell>
          <cell r="C312" t="str">
            <v/>
          </cell>
          <cell r="D312" t="str">
            <v>Total Suspense accounts for migration IFRS</v>
          </cell>
          <cell r="E312">
            <v>-1.2</v>
          </cell>
          <cell r="F312">
            <v>-1.2</v>
          </cell>
        </row>
        <row r="313">
          <cell r="A313" t="str">
            <v>T2003</v>
          </cell>
          <cell r="B313" t="str">
            <v>MIGRAT2003</v>
          </cell>
          <cell r="C313" t="str">
            <v/>
          </cell>
          <cell r="D313" t="str">
            <v>Total Suspense accounts for migration Local G</v>
          </cell>
          <cell r="E313">
            <v>0.33</v>
          </cell>
          <cell r="F313">
            <v>0.33</v>
          </cell>
        </row>
        <row r="314">
          <cell r="A314" t="str">
            <v>TION2</v>
          </cell>
          <cell r="B314" t="str">
            <v>MIGRATION2</v>
          </cell>
          <cell r="C314" t="str">
            <v/>
          </cell>
          <cell r="D314" t="str">
            <v>Total Suspense accounts for migration</v>
          </cell>
          <cell r="E314">
            <v>0.78</v>
          </cell>
          <cell r="F314">
            <v>0.78</v>
          </cell>
        </row>
        <row r="315">
          <cell r="A315" t="str">
            <v>ATION</v>
          </cell>
          <cell r="B315" t="str">
            <v>MIGRATION</v>
          </cell>
          <cell r="C315" t="str">
            <v/>
          </cell>
          <cell r="D315" t="str">
            <v>Migration Accounts</v>
          </cell>
          <cell r="E315">
            <v>0.65</v>
          </cell>
          <cell r="F315">
            <v>0.65</v>
          </cell>
        </row>
        <row r="316">
          <cell r="A316" t="str">
            <v>ASSET</v>
          </cell>
          <cell r="B316" t="str">
            <v>LOCALASSET</v>
          </cell>
          <cell r="C316" t="str">
            <v/>
          </cell>
          <cell r="D316" t="str">
            <v/>
          </cell>
          <cell r="E316">
            <v>13006007792.09</v>
          </cell>
          <cell r="F316">
            <v>13616305802.02</v>
          </cell>
        </row>
        <row r="317">
          <cell r="A317" t="str">
            <v>LREST</v>
          </cell>
          <cell r="B317" t="str">
            <v>LOCALREST</v>
          </cell>
          <cell r="C317" t="str">
            <v/>
          </cell>
          <cell r="D317" t="str">
            <v/>
          </cell>
          <cell r="E317">
            <v>22998648194.07</v>
          </cell>
          <cell r="F317">
            <v>21698825253.66</v>
          </cell>
        </row>
        <row r="318">
          <cell r="A318" t="str">
            <v>835</v>
          </cell>
          <cell r="B318" t="str">
            <v>835</v>
          </cell>
          <cell r="C318" t="str">
            <v/>
          </cell>
          <cell r="D318" t="str">
            <v/>
          </cell>
          <cell r="E318">
            <v>-2286525289.4400001</v>
          </cell>
          <cell r="F318">
            <v>-2286525289.4400001</v>
          </cell>
        </row>
        <row r="319">
          <cell r="A319" t="str">
            <v>870</v>
          </cell>
          <cell r="B319" t="str">
            <v>870</v>
          </cell>
          <cell r="C319" t="str">
            <v/>
          </cell>
          <cell r="D319" t="str">
            <v/>
          </cell>
          <cell r="E319">
            <v>-33718130697.369999</v>
          </cell>
          <cell r="F319">
            <v>-33028605766.889999</v>
          </cell>
        </row>
        <row r="320">
          <cell r="A320" t="str">
            <v>87</v>
          </cell>
          <cell r="B320" t="str">
            <v>87</v>
          </cell>
          <cell r="C320" t="str">
            <v/>
          </cell>
          <cell r="D320" t="str">
            <v/>
          </cell>
          <cell r="E320">
            <v>-33718130697.369999</v>
          </cell>
          <cell r="F320">
            <v>-33028605766.889999</v>
          </cell>
        </row>
        <row r="321">
          <cell r="A321" t="str">
            <v>35_87</v>
          </cell>
          <cell r="B321" t="str">
            <v>835_87</v>
          </cell>
          <cell r="C321" t="str">
            <v/>
          </cell>
          <cell r="D321" t="str">
            <v/>
          </cell>
          <cell r="E321">
            <v>-36004655986.809998</v>
          </cell>
          <cell r="F321">
            <v>-35315131056.330002</v>
          </cell>
        </row>
        <row r="322">
          <cell r="A322" t="str">
            <v>LOCAL</v>
          </cell>
          <cell r="B322" t="str">
            <v>LOCAL</v>
          </cell>
          <cell r="C322" t="str">
            <v/>
          </cell>
          <cell r="D322" t="str">
            <v/>
          </cell>
          <cell r="E322">
            <v>-0.65</v>
          </cell>
          <cell r="F322">
            <v>-0.65</v>
          </cell>
        </row>
        <row r="323">
          <cell r="A323" t="str">
            <v>TECHN</v>
          </cell>
          <cell r="B323" t="str">
            <v>LOCALTECHN</v>
          </cell>
          <cell r="C323" t="str">
            <v/>
          </cell>
          <cell r="D323" t="str">
            <v>Local GAAP accounts and technical accounts</v>
          </cell>
          <cell r="E323">
            <v>-0.65</v>
          </cell>
          <cell r="F323">
            <v>-0.65</v>
          </cell>
        </row>
        <row r="324">
          <cell r="A324" t="str">
            <v>802P</v>
          </cell>
          <cell r="B324" t="str">
            <v>802P</v>
          </cell>
          <cell r="C324" t="str">
            <v/>
          </cell>
          <cell r="D324" t="str">
            <v/>
          </cell>
          <cell r="E324">
            <v>-0.68</v>
          </cell>
          <cell r="F324">
            <v>-0.22</v>
          </cell>
        </row>
        <row r="325">
          <cell r="A325" t="str">
            <v>81</v>
          </cell>
          <cell r="B325" t="str">
            <v>81</v>
          </cell>
          <cell r="C325" t="str">
            <v/>
          </cell>
          <cell r="D325" t="str">
            <v/>
          </cell>
          <cell r="E325">
            <v>-0.68</v>
          </cell>
          <cell r="F325">
            <v>-0.22</v>
          </cell>
        </row>
        <row r="326">
          <cell r="A326" t="str">
            <v>831</v>
          </cell>
          <cell r="B326" t="str">
            <v>831</v>
          </cell>
          <cell r="C326" t="str">
            <v/>
          </cell>
          <cell r="D326" t="str">
            <v/>
          </cell>
          <cell r="E326">
            <v>-0.36</v>
          </cell>
          <cell r="F326">
            <v>-0.36</v>
          </cell>
        </row>
        <row r="327">
          <cell r="A327" t="str">
            <v>833</v>
          </cell>
          <cell r="B327" t="str">
            <v>833</v>
          </cell>
          <cell r="C327" t="str">
            <v/>
          </cell>
          <cell r="D327" t="str">
            <v/>
          </cell>
          <cell r="E327">
            <v>0.36</v>
          </cell>
          <cell r="F327">
            <v>0</v>
          </cell>
        </row>
        <row r="328">
          <cell r="A328" t="str">
            <v>837</v>
          </cell>
          <cell r="B328" t="str">
            <v>837</v>
          </cell>
          <cell r="C328" t="str">
            <v/>
          </cell>
          <cell r="D328" t="str">
            <v/>
          </cell>
          <cell r="E328">
            <v>0.43</v>
          </cell>
          <cell r="F328">
            <v>0.21</v>
          </cell>
        </row>
        <row r="329">
          <cell r="A329" t="str">
            <v>83</v>
          </cell>
          <cell r="B329" t="str">
            <v>83</v>
          </cell>
          <cell r="C329" t="str">
            <v/>
          </cell>
          <cell r="D329" t="str">
            <v/>
          </cell>
          <cell r="E329">
            <v>0.43</v>
          </cell>
          <cell r="F329">
            <v>-0.15</v>
          </cell>
        </row>
        <row r="330">
          <cell r="A330" t="str">
            <v>00000</v>
          </cell>
          <cell r="B330" t="str">
            <v>800000000</v>
          </cell>
          <cell r="C330" t="str">
            <v/>
          </cell>
          <cell r="D330" t="str">
            <v>Distribution, suspense and settlement account</v>
          </cell>
          <cell r="E330">
            <v>-0.25</v>
          </cell>
          <cell r="F330">
            <v>-0.37</v>
          </cell>
        </row>
        <row r="331">
          <cell r="A331" t="str">
            <v>XXXXX</v>
          </cell>
          <cell r="B331" t="str">
            <v>XXXXXXXXXX</v>
          </cell>
          <cell r="C331" t="str">
            <v/>
          </cell>
          <cell r="D331" t="str">
            <v/>
          </cell>
          <cell r="E331">
            <v>-0.25</v>
          </cell>
          <cell r="F331">
            <v>-0.37</v>
          </cell>
        </row>
        <row r="332">
          <cell r="A332" t="str">
            <v/>
          </cell>
          <cell r="B332" t="str">
            <v/>
          </cell>
          <cell r="C332" t="str">
            <v/>
          </cell>
          <cell r="D332" t="str">
            <v/>
          </cell>
          <cell r="E332">
            <v>-54714770328.5</v>
          </cell>
          <cell r="F332">
            <v>-7671375961.8699999</v>
          </cell>
        </row>
        <row r="333">
          <cell r="A333" t="str">
            <v/>
          </cell>
        </row>
        <row r="334">
          <cell r="A334" t="str">
            <v/>
          </cell>
        </row>
        <row r="335">
          <cell r="A335" t="str">
            <v/>
          </cell>
        </row>
        <row r="336">
          <cell r="A336" t="str">
            <v/>
          </cell>
        </row>
        <row r="337">
          <cell r="A337" t="str">
            <v/>
          </cell>
        </row>
        <row r="338">
          <cell r="A338" t="str">
            <v/>
          </cell>
        </row>
        <row r="339">
          <cell r="A339" t="str">
            <v/>
          </cell>
        </row>
        <row r="340">
          <cell r="A340" t="str">
            <v/>
          </cell>
        </row>
        <row r="341">
          <cell r="A341" t="str">
            <v/>
          </cell>
        </row>
        <row r="342">
          <cell r="A342" t="str">
            <v/>
          </cell>
        </row>
        <row r="343">
          <cell r="A343" t="str">
            <v/>
          </cell>
        </row>
        <row r="344">
          <cell r="A344" t="str">
            <v/>
          </cell>
        </row>
        <row r="345">
          <cell r="A345" t="str">
            <v/>
          </cell>
        </row>
        <row r="346">
          <cell r="A346" t="str">
            <v/>
          </cell>
        </row>
        <row r="347">
          <cell r="A347" t="str">
            <v/>
          </cell>
        </row>
        <row r="348">
          <cell r="A348" t="str">
            <v/>
          </cell>
        </row>
        <row r="349">
          <cell r="A349" t="str">
            <v/>
          </cell>
        </row>
        <row r="350">
          <cell r="A350" t="str">
            <v/>
          </cell>
        </row>
        <row r="351">
          <cell r="A351" t="str">
            <v/>
          </cell>
        </row>
        <row r="352">
          <cell r="A352" t="str">
            <v/>
          </cell>
        </row>
        <row r="353">
          <cell r="A353" t="str">
            <v/>
          </cell>
        </row>
        <row r="354">
          <cell r="A354" t="str">
            <v/>
          </cell>
        </row>
        <row r="355">
          <cell r="A355" t="str">
            <v/>
          </cell>
        </row>
        <row r="356">
          <cell r="A356" t="str">
            <v/>
          </cell>
        </row>
        <row r="357">
          <cell r="A357" t="str">
            <v/>
          </cell>
        </row>
        <row r="358">
          <cell r="A358" t="str">
            <v/>
          </cell>
        </row>
        <row r="359">
          <cell r="A359" t="str">
            <v/>
          </cell>
        </row>
        <row r="360">
          <cell r="A360" t="str">
            <v/>
          </cell>
        </row>
        <row r="361">
          <cell r="A361" t="str">
            <v/>
          </cell>
        </row>
        <row r="362">
          <cell r="A362" t="str">
            <v/>
          </cell>
        </row>
        <row r="363">
          <cell r="A363" t="str">
            <v/>
          </cell>
        </row>
        <row r="364">
          <cell r="A364" t="str">
            <v/>
          </cell>
        </row>
        <row r="365">
          <cell r="A365" t="str">
            <v/>
          </cell>
        </row>
        <row r="366">
          <cell r="A366" t="str">
            <v/>
          </cell>
        </row>
        <row r="367">
          <cell r="A367" t="str">
            <v/>
          </cell>
        </row>
        <row r="368">
          <cell r="A368" t="str">
            <v/>
          </cell>
        </row>
        <row r="369">
          <cell r="A369" t="str">
            <v/>
          </cell>
        </row>
        <row r="370">
          <cell r="A370" t="str">
            <v/>
          </cell>
        </row>
        <row r="371">
          <cell r="A371" t="str">
            <v/>
          </cell>
        </row>
        <row r="372">
          <cell r="A372" t="str">
            <v/>
          </cell>
        </row>
        <row r="373">
          <cell r="A373" t="str">
            <v/>
          </cell>
        </row>
        <row r="374">
          <cell r="A374" t="str">
            <v/>
          </cell>
        </row>
        <row r="375">
          <cell r="A375" t="str">
            <v/>
          </cell>
        </row>
        <row r="376">
          <cell r="A376" t="str">
            <v/>
          </cell>
        </row>
        <row r="377">
          <cell r="A377" t="str">
            <v/>
          </cell>
        </row>
        <row r="378">
          <cell r="A378" t="str">
            <v/>
          </cell>
        </row>
        <row r="379">
          <cell r="A379" t="str">
            <v/>
          </cell>
        </row>
        <row r="380">
          <cell r="A380" t="str">
            <v/>
          </cell>
        </row>
        <row r="381">
          <cell r="A381" t="str">
            <v/>
          </cell>
        </row>
        <row r="382">
          <cell r="A382" t="str">
            <v/>
          </cell>
        </row>
        <row r="383">
          <cell r="A383" t="str">
            <v/>
          </cell>
        </row>
        <row r="384">
          <cell r="A384" t="str">
            <v/>
          </cell>
        </row>
        <row r="385">
          <cell r="A385" t="str">
            <v/>
          </cell>
        </row>
        <row r="386">
          <cell r="A386" t="str">
            <v/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  <sheetName val="Cntl"/>
      <sheetName val="Mapping IC"/>
      <sheetName val="Mapping FX"/>
      <sheetName val="SAP Input-BS_K_Assets"/>
      <sheetName val="SAP Input-BS_K_Liabilities"/>
      <sheetName val="SAP Input-A.FA1"/>
      <sheetName val="SAP Input-A.FA2"/>
      <sheetName val="SAP Input-A.FA3"/>
      <sheetName val="SAP Input-A.FA4"/>
      <sheetName val="SAP Input-A.FA5"/>
      <sheetName val="SAP Input-A.FA6"/>
      <sheetName val="SAP Input-A.FA7"/>
      <sheetName val="SAP Input-A.FA8"/>
      <sheetName val="SAP Input-A.FA9"/>
      <sheetName val="SAP Input-A.FAman"/>
      <sheetName val="SAP Input-Inv"/>
      <sheetName val="SAP Input-Inv_K"/>
      <sheetName val="SAP Input-IS_K"/>
      <sheetName val="SAP Input-IS"/>
      <sheetName val="SAP Input-Lease"/>
      <sheetName val="SAP Input-Lease_NF7"/>
      <sheetName val="SAP Input-L.Pr"/>
      <sheetName val="SAP Input-BS"/>
      <sheetName val="A.1"/>
      <sheetName val="A.1_MS"/>
      <sheetName val="A.1_K"/>
      <sheetName val="A.1_N"/>
      <sheetName val="A.Inv"/>
      <sheetName val="A.Inv_K"/>
      <sheetName val="A.FA"/>
      <sheetName val="A.FA_K"/>
      <sheetName val="A.Imt"/>
      <sheetName val="L.1"/>
      <sheetName val="L.1_FL"/>
      <sheetName val="L.1_K_Eq"/>
      <sheetName val="L.1_N"/>
      <sheetName val="L.Pr"/>
      <sheetName val="L.Eq"/>
      <sheetName val="B.Cons_A"/>
      <sheetName val="B.Cons_L"/>
      <sheetName val="B.Cons"/>
      <sheetName val="CF"/>
      <sheetName val="CF_State"/>
      <sheetName val="IS"/>
      <sheetName val="IS_K"/>
      <sheetName val="IS_N"/>
      <sheetName val="IS_B"/>
      <sheetName val="IS_Imt1"/>
      <sheetName val="IS_Tax"/>
      <sheetName val="B_State"/>
      <sheetName val="I_State"/>
      <sheetName val="N.T1"/>
      <sheetName val="N.T2"/>
      <sheetName val="N.T3"/>
      <sheetName val="N.T4_1,2"/>
      <sheetName val="N.T4_3,4"/>
      <sheetName val="N.T4_5"/>
      <sheetName val="N.T6"/>
      <sheetName val="N.T7"/>
      <sheetName val="N.T9"/>
      <sheetName val="N.T_IFS"/>
      <sheetName val="N.T9_K"/>
      <sheetName val="N.SNC"/>
      <sheetName val="N.S"/>
      <sheetName val="N.BA"/>
      <sheetName val="N.ICE"/>
      <sheetName val="N.BL"/>
      <sheetName val="N.CA_CL"/>
      <sheetName val="N.RP_B"/>
      <sheetName val="N.RP_N"/>
      <sheetName val="N.IS"/>
      <sheetName val="N.F1_N"/>
      <sheetName val="N.F1_P"/>
      <sheetName val="N.F2_1"/>
      <sheetName val="N.F2_2"/>
      <sheetName val="N.F3"/>
      <sheetName val="N.F4"/>
      <sheetName val="N.F4_K"/>
      <sheetName val="N.F5"/>
      <sheetName val="N.F6_1"/>
      <sheetName val="N.F6_2"/>
      <sheetName val="N.F7"/>
      <sheetName val="N.F8"/>
      <sheetName val="N.HB1"/>
      <sheetName val="N.MBR1"/>
      <sheetName val="N.V"/>
      <sheetName val="Check"/>
      <sheetName val="Softchecks"/>
      <sheetName val="K_N_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5">
          <cell r="A5" t="str">
            <v>17003</v>
          </cell>
          <cell r="B5" t="str">
            <v>RB-C-17003</v>
          </cell>
          <cell r="C5" t="str">
            <v/>
          </cell>
          <cell r="D5" t="str">
            <v>Total 17003 Cash on hand</v>
          </cell>
          <cell r="E5">
            <v>1234</v>
          </cell>
          <cell r="F5">
            <v>2301</v>
          </cell>
        </row>
        <row r="6">
          <cell r="A6" t="str">
            <v>17005</v>
          </cell>
          <cell r="B6" t="str">
            <v>RB-C-17005</v>
          </cell>
          <cell r="C6" t="str">
            <v/>
          </cell>
          <cell r="D6" t="str">
            <v>Total 17005 Bank balances &lt; 90 days</v>
          </cell>
          <cell r="E6">
            <v>1560768050</v>
          </cell>
          <cell r="F6">
            <v>7544558484.1000004</v>
          </cell>
        </row>
        <row r="7">
          <cell r="A7" t="str">
            <v>AC_CH</v>
          </cell>
          <cell r="B7" t="str">
            <v>RB-C-AC_CH</v>
          </cell>
          <cell r="C7" t="str">
            <v/>
          </cell>
          <cell r="D7" t="str">
            <v>Total AC_CH Total: Cash and cash equivalents</v>
          </cell>
          <cell r="E7">
            <v>1560769284</v>
          </cell>
          <cell r="F7">
            <v>7544560785.1000004</v>
          </cell>
        </row>
        <row r="8">
          <cell r="A8" t="str">
            <v>1800C</v>
          </cell>
          <cell r="B8" t="str">
            <v>RB-C-1800C</v>
          </cell>
          <cell r="C8" t="str">
            <v/>
          </cell>
          <cell r="D8" t="str">
            <v>Total Trade receiv. Thrd parties,etc Nom. val</v>
          </cell>
          <cell r="E8">
            <v>2349680461.8699999</v>
          </cell>
          <cell r="F8">
            <v>3580184123.8000002</v>
          </cell>
        </row>
        <row r="9">
          <cell r="A9" t="str">
            <v>1800D</v>
          </cell>
          <cell r="B9" t="str">
            <v>RB-C-1800D</v>
          </cell>
          <cell r="C9" t="str">
            <v/>
          </cell>
          <cell r="D9" t="str">
            <v>Total Trade receiv. Thrd part.,etc Allow.,</v>
          </cell>
          <cell r="E9">
            <v>-239145002.03</v>
          </cell>
          <cell r="F9">
            <v>-247826012.03</v>
          </cell>
        </row>
        <row r="10">
          <cell r="A10" t="str">
            <v>18000</v>
          </cell>
          <cell r="B10" t="str">
            <v>RB-C-18000</v>
          </cell>
          <cell r="C10" t="str">
            <v/>
          </cell>
          <cell r="D10" t="str">
            <v>18000 Trade receivables - 3rd, B-c, B-f</v>
          </cell>
          <cell r="E10">
            <v>2110535459.8399999</v>
          </cell>
          <cell r="F10">
            <v>3332358111.77</v>
          </cell>
        </row>
        <row r="11">
          <cell r="A11" t="str">
            <v>1802I</v>
          </cell>
          <cell r="B11" t="str">
            <v>RB-C-1802I</v>
          </cell>
          <cell r="C11" t="str">
            <v/>
          </cell>
          <cell r="D11" t="str">
            <v>Trade receivables - K - Intrasegment</v>
          </cell>
          <cell r="E11">
            <v>20221227004.77</v>
          </cell>
          <cell r="F11">
            <v>13889445176.01</v>
          </cell>
        </row>
        <row r="12">
          <cell r="A12" t="str">
            <v>1802S</v>
          </cell>
          <cell r="B12" t="str">
            <v>RB-C-1802S</v>
          </cell>
          <cell r="C12" t="str">
            <v/>
          </cell>
          <cell r="D12" t="str">
            <v>Trade receivables - K - Intersegment</v>
          </cell>
          <cell r="E12">
            <v>1200845225.77</v>
          </cell>
          <cell r="F12">
            <v>1495069095.5899999</v>
          </cell>
        </row>
        <row r="13">
          <cell r="A13" t="str">
            <v>18020</v>
          </cell>
          <cell r="B13" t="str">
            <v>RB-C-18020</v>
          </cell>
          <cell r="C13" t="str">
            <v/>
          </cell>
          <cell r="D13" t="str">
            <v>18020 Trade receivables - K</v>
          </cell>
          <cell r="E13">
            <v>21422072230.540001</v>
          </cell>
          <cell r="F13">
            <v>15384514271.6</v>
          </cell>
        </row>
        <row r="14">
          <cell r="A14" t="str">
            <v>1804C</v>
          </cell>
          <cell r="B14" t="str">
            <v>RB-C-1804C</v>
          </cell>
          <cell r="C14" t="str">
            <v/>
          </cell>
          <cell r="D14" t="str">
            <v>Total Trade receivables N Nominal value</v>
          </cell>
          <cell r="E14">
            <v>267026767.59999999</v>
          </cell>
          <cell r="F14">
            <v>258502008.03999999</v>
          </cell>
        </row>
        <row r="15">
          <cell r="A15" t="str">
            <v>18040</v>
          </cell>
          <cell r="B15" t="str">
            <v>RB-C-18040</v>
          </cell>
          <cell r="C15" t="str">
            <v/>
          </cell>
          <cell r="D15" t="str">
            <v>18040 Trade receivables - N</v>
          </cell>
          <cell r="E15">
            <v>267026767.59999999</v>
          </cell>
          <cell r="F15">
            <v>258502008.03999999</v>
          </cell>
        </row>
        <row r="16">
          <cell r="A16" t="str">
            <v>AC_AR</v>
          </cell>
          <cell r="B16" t="str">
            <v>RB-C-AC_AR</v>
          </cell>
          <cell r="C16" t="str">
            <v/>
          </cell>
          <cell r="D16" t="str">
            <v>Total AC_AR Total: Trade receivables</v>
          </cell>
          <cell r="E16">
            <v>23799634457.98</v>
          </cell>
          <cell r="F16">
            <v>18975374391.41</v>
          </cell>
        </row>
        <row r="17">
          <cell r="A17" t="str">
            <v>17057</v>
          </cell>
          <cell r="B17" t="str">
            <v>RB-C-17057</v>
          </cell>
          <cell r="C17" t="str">
            <v/>
          </cell>
          <cell r="D17" t="str">
            <v>17057 Money market funds - FVPL</v>
          </cell>
          <cell r="E17">
            <v>14517034946</v>
          </cell>
          <cell r="F17">
            <v>11390965220.23</v>
          </cell>
        </row>
        <row r="18">
          <cell r="A18" t="str">
            <v>17066</v>
          </cell>
          <cell r="B18" t="str">
            <v>RB-C-17066</v>
          </cell>
          <cell r="C18" t="str">
            <v/>
          </cell>
          <cell r="D18" t="str">
            <v>17066 Marketable sec. &lt; 1 year - FVOCI wR</v>
          </cell>
          <cell r="E18">
            <v>0.04</v>
          </cell>
          <cell r="F18">
            <v>0</v>
          </cell>
        </row>
        <row r="19">
          <cell r="A19" t="str">
            <v>17099</v>
          </cell>
          <cell r="B19" t="str">
            <v>RB-C-17099</v>
          </cell>
          <cell r="C19" t="str">
            <v/>
          </cell>
          <cell r="D19" t="str">
            <v>17099 Total: Marketable securities =&lt; 1 year</v>
          </cell>
          <cell r="E19">
            <v>14517034946.040001</v>
          </cell>
          <cell r="F19">
            <v>11390965220.23</v>
          </cell>
        </row>
        <row r="20">
          <cell r="A20" t="str">
            <v>1825C</v>
          </cell>
          <cell r="B20" t="str">
            <v>RB-C-1825C</v>
          </cell>
          <cell r="C20" t="str">
            <v/>
          </cell>
          <cell r="D20" t="str">
            <v/>
          </cell>
          <cell r="E20">
            <v>12847098.710000001</v>
          </cell>
          <cell r="F20">
            <v>12664584.130000001</v>
          </cell>
        </row>
        <row r="21">
          <cell r="A21" t="str">
            <v>1825D</v>
          </cell>
          <cell r="B21" t="str">
            <v>RB-C-1825D</v>
          </cell>
          <cell r="C21" t="str">
            <v/>
          </cell>
          <cell r="D21" t="str">
            <v/>
          </cell>
          <cell r="E21">
            <v>-128471</v>
          </cell>
          <cell r="F21">
            <v>-126645.84</v>
          </cell>
        </row>
        <row r="22">
          <cell r="A22" t="str">
            <v>18215</v>
          </cell>
          <cell r="B22" t="str">
            <v>RB-C-18215</v>
          </cell>
          <cell r="C22" t="str">
            <v/>
          </cell>
          <cell r="D22" t="str">
            <v>18215 Loans =&lt; 1 year - employees</v>
          </cell>
          <cell r="E22">
            <v>12718627.710000001</v>
          </cell>
          <cell r="F22">
            <v>12537938.289999999</v>
          </cell>
        </row>
        <row r="23">
          <cell r="A23" t="str">
            <v>18220</v>
          </cell>
          <cell r="B23" t="str">
            <v>RB-C-18220</v>
          </cell>
          <cell r="C23" t="str">
            <v/>
          </cell>
          <cell r="D23" t="str">
            <v>18220 Loans =&lt; 1 year - K</v>
          </cell>
          <cell r="E23">
            <v>5218076388</v>
          </cell>
          <cell r="F23">
            <v>5263902000</v>
          </cell>
        </row>
        <row r="24">
          <cell r="A24" t="str">
            <v>18299</v>
          </cell>
          <cell r="B24" t="str">
            <v>RB-C-18299</v>
          </cell>
          <cell r="C24" t="str">
            <v/>
          </cell>
          <cell r="D24" t="str">
            <v>18299 Total: Loans =&lt; 1 year</v>
          </cell>
          <cell r="E24">
            <v>5230795015.71</v>
          </cell>
          <cell r="F24">
            <v>5276439938.29</v>
          </cell>
        </row>
        <row r="25">
          <cell r="A25" t="str">
            <v>1860C</v>
          </cell>
          <cell r="B25" t="str">
            <v>RB-C-1860C</v>
          </cell>
          <cell r="C25" t="str">
            <v/>
          </cell>
          <cell r="D25" t="str">
            <v/>
          </cell>
          <cell r="E25">
            <v>395964868.69999999</v>
          </cell>
          <cell r="F25">
            <v>384618619.61000001</v>
          </cell>
        </row>
        <row r="26">
          <cell r="A26" t="str">
            <v>1860D</v>
          </cell>
          <cell r="B26" t="str">
            <v>RB-C-1860D</v>
          </cell>
          <cell r="C26" t="str">
            <v/>
          </cell>
          <cell r="D26" t="str">
            <v/>
          </cell>
          <cell r="E26">
            <v>0.01</v>
          </cell>
          <cell r="F26">
            <v>0.01</v>
          </cell>
        </row>
        <row r="27">
          <cell r="A27" t="str">
            <v>18600</v>
          </cell>
          <cell r="B27" t="str">
            <v>RB-C-18600</v>
          </cell>
          <cell r="C27" t="str">
            <v/>
          </cell>
          <cell r="D27" t="str">
            <v>18600 Receiv. f. fin. lease (lessor) =&lt; 1y</v>
          </cell>
          <cell r="E27">
            <v>395964868.70999998</v>
          </cell>
          <cell r="F27">
            <v>384618619.62</v>
          </cell>
        </row>
        <row r="28">
          <cell r="A28" t="str">
            <v>18516</v>
          </cell>
          <cell r="B28" t="str">
            <v>RB-C-18516</v>
          </cell>
          <cell r="C28" t="str">
            <v/>
          </cell>
          <cell r="D28" t="str">
            <v>18516 Fin. receivab. board members, empl =&lt;1y</v>
          </cell>
          <cell r="E28">
            <v>182412020.18000001</v>
          </cell>
          <cell r="F28">
            <v>230751899.13999999</v>
          </cell>
        </row>
        <row r="29">
          <cell r="A29" t="str">
            <v>1861G</v>
          </cell>
          <cell r="B29" t="str">
            <v>RB-C-1861G</v>
          </cell>
          <cell r="C29" t="str">
            <v/>
          </cell>
          <cell r="D29" t="str">
            <v/>
          </cell>
          <cell r="E29">
            <v>278877032.81</v>
          </cell>
          <cell r="F29">
            <v>9004888412.0499992</v>
          </cell>
        </row>
        <row r="30">
          <cell r="A30" t="str">
            <v>1861H</v>
          </cell>
          <cell r="B30" t="str">
            <v>RB-C-1861H</v>
          </cell>
          <cell r="C30" t="str">
            <v/>
          </cell>
          <cell r="D30" t="str">
            <v/>
          </cell>
          <cell r="E30">
            <v>-2656632</v>
          </cell>
          <cell r="F30">
            <v>-2388911.25</v>
          </cell>
        </row>
        <row r="31">
          <cell r="A31" t="str">
            <v>18616</v>
          </cell>
          <cell r="B31" t="str">
            <v>RB-C-18616</v>
          </cell>
          <cell r="C31" t="str">
            <v/>
          </cell>
          <cell r="D31" t="str">
            <v>18616 Other financial receivables&lt;1 year, 3rd</v>
          </cell>
          <cell r="E31">
            <v>276220400.81</v>
          </cell>
          <cell r="F31">
            <v>9002499500.7999992</v>
          </cell>
        </row>
        <row r="32">
          <cell r="A32" t="str">
            <v>18624</v>
          </cell>
          <cell r="B32" t="str">
            <v>RB-C-18624</v>
          </cell>
          <cell r="C32" t="str">
            <v/>
          </cell>
          <cell r="D32" t="str">
            <v>18624 Creditors with debit balances K</v>
          </cell>
          <cell r="E32">
            <v>46786</v>
          </cell>
          <cell r="F32">
            <v>21800084.620000001</v>
          </cell>
        </row>
        <row r="33">
          <cell r="A33" t="str">
            <v>18625</v>
          </cell>
          <cell r="B33" t="str">
            <v>RB-C-18625</v>
          </cell>
          <cell r="C33" t="str">
            <v/>
          </cell>
          <cell r="D33" t="str">
            <v>18625 Receivables accrued interest - K</v>
          </cell>
          <cell r="E33">
            <v>1284707.07</v>
          </cell>
          <cell r="F33">
            <v>462724.78</v>
          </cell>
        </row>
        <row r="34">
          <cell r="A34" t="str">
            <v>18644</v>
          </cell>
          <cell r="B34" t="str">
            <v>RB-C-18644</v>
          </cell>
          <cell r="C34" t="str">
            <v/>
          </cell>
          <cell r="D34" t="str">
            <v>18644 Creditors with debit balances N</v>
          </cell>
          <cell r="E34">
            <v>2100157</v>
          </cell>
          <cell r="F34">
            <v>1731827.79</v>
          </cell>
        </row>
        <row r="35">
          <cell r="A35" t="str">
            <v>AC_FA</v>
          </cell>
          <cell r="B35" t="str">
            <v>RB-C-AC_FA</v>
          </cell>
          <cell r="C35" t="str">
            <v/>
          </cell>
          <cell r="D35" t="str">
            <v>Total AC_FA Total: Oth current financ. assets</v>
          </cell>
          <cell r="E35">
            <v>20605858901.52</v>
          </cell>
          <cell r="F35">
            <v>26309269815.27</v>
          </cell>
        </row>
        <row r="36">
          <cell r="A36" t="str">
            <v>18510</v>
          </cell>
          <cell r="B36" t="str">
            <v>RB-C-18510</v>
          </cell>
          <cell r="C36" t="str">
            <v/>
          </cell>
          <cell r="D36" t="str">
            <v>18510 Income tax receivables &lt; 1 y</v>
          </cell>
          <cell r="E36">
            <v>-229921.71</v>
          </cell>
          <cell r="F36">
            <v>42030079.710000001</v>
          </cell>
        </row>
        <row r="37">
          <cell r="A37" t="str">
            <v>AC_IT</v>
          </cell>
          <cell r="B37" t="str">
            <v>RB-C-AC_IT</v>
          </cell>
          <cell r="C37" t="str">
            <v/>
          </cell>
          <cell r="D37" t="str">
            <v>Total AC_IT Total: Income tax receivables &lt;1y</v>
          </cell>
          <cell r="E37">
            <v>-229921.71</v>
          </cell>
          <cell r="F37">
            <v>42030079.710000001</v>
          </cell>
        </row>
        <row r="38">
          <cell r="A38" t="str">
            <v>18400</v>
          </cell>
          <cell r="B38" t="str">
            <v>RB-C-18400</v>
          </cell>
          <cell r="C38" t="str">
            <v/>
          </cell>
          <cell r="D38" t="str">
            <v>18400 Prepaid expenses - Th.p.,N, B-a,B-c,B-f</v>
          </cell>
          <cell r="E38">
            <v>323015395</v>
          </cell>
          <cell r="F38">
            <v>533452119.25</v>
          </cell>
        </row>
        <row r="39">
          <cell r="A39" t="str">
            <v>1851A</v>
          </cell>
          <cell r="B39" t="str">
            <v>RB-C-1851A</v>
          </cell>
          <cell r="C39" t="str">
            <v/>
          </cell>
          <cell r="D39" t="str">
            <v/>
          </cell>
          <cell r="E39">
            <v>-4239385369.0599999</v>
          </cell>
          <cell r="F39">
            <v>-4080200462.48</v>
          </cell>
        </row>
        <row r="40">
          <cell r="A40" t="str">
            <v>185DE</v>
          </cell>
          <cell r="B40" t="str">
            <v>RB-C-185DE</v>
          </cell>
          <cell r="C40" t="str">
            <v/>
          </cell>
          <cell r="D40" t="str">
            <v/>
          </cell>
          <cell r="E40">
            <v>23482443.460000001</v>
          </cell>
          <cell r="F40">
            <v>28739224.109999999</v>
          </cell>
        </row>
        <row r="41">
          <cell r="A41" t="str">
            <v>185FR</v>
          </cell>
          <cell r="B41" t="str">
            <v>RB-C-185FR</v>
          </cell>
          <cell r="C41" t="str">
            <v/>
          </cell>
          <cell r="D41" t="str">
            <v/>
          </cell>
          <cell r="E41">
            <v>3379551.42</v>
          </cell>
          <cell r="F41">
            <v>5711542.96</v>
          </cell>
        </row>
        <row r="42">
          <cell r="A42" t="str">
            <v>185GB</v>
          </cell>
          <cell r="B42" t="str">
            <v>RB-C-185GB</v>
          </cell>
          <cell r="C42" t="str">
            <v/>
          </cell>
          <cell r="D42" t="str">
            <v/>
          </cell>
          <cell r="E42">
            <v>3656465.93</v>
          </cell>
          <cell r="F42">
            <v>3724193.37</v>
          </cell>
        </row>
        <row r="43">
          <cell r="A43" t="str">
            <v>185IN</v>
          </cell>
          <cell r="B43" t="str">
            <v>RB-C-185IN</v>
          </cell>
          <cell r="C43" t="str">
            <v/>
          </cell>
          <cell r="D43" t="str">
            <v/>
          </cell>
          <cell r="E43">
            <v>4190648658.7199998</v>
          </cell>
          <cell r="F43">
            <v>4044476929.29</v>
          </cell>
        </row>
        <row r="44">
          <cell r="A44" t="str">
            <v>185RU</v>
          </cell>
          <cell r="B44" t="str">
            <v>RB-C-185RU</v>
          </cell>
          <cell r="C44" t="str">
            <v/>
          </cell>
          <cell r="D44" t="str">
            <v/>
          </cell>
          <cell r="E44">
            <v>1272766.1200000001</v>
          </cell>
          <cell r="F44">
            <v>1272766.1200000001</v>
          </cell>
        </row>
        <row r="45">
          <cell r="A45" t="str">
            <v>18511</v>
          </cell>
          <cell r="B45" t="str">
            <v>RB-C-18511</v>
          </cell>
          <cell r="C45" t="str">
            <v/>
          </cell>
          <cell r="D45" t="str">
            <v>18511 Other tax receivables &lt; 1 y</v>
          </cell>
          <cell r="E45">
            <v>-16945483.41</v>
          </cell>
          <cell r="F45">
            <v>3724193.37</v>
          </cell>
        </row>
        <row r="46">
          <cell r="A46" t="str">
            <v>18515</v>
          </cell>
          <cell r="B46" t="str">
            <v>RB-C-18515</v>
          </cell>
          <cell r="C46" t="str">
            <v/>
          </cell>
          <cell r="D46" t="str">
            <v>18515 Receivables f. board members, employees</v>
          </cell>
          <cell r="E46">
            <v>8138.41</v>
          </cell>
          <cell r="F46">
            <v>8138</v>
          </cell>
        </row>
        <row r="47">
          <cell r="A47" t="str">
            <v>18610</v>
          </cell>
          <cell r="B47" t="str">
            <v>RB-C-18610</v>
          </cell>
          <cell r="C47" t="str">
            <v/>
          </cell>
          <cell r="D47" t="str">
            <v>18610 Sundry other receivables &lt; 1 y - 3rd, B</v>
          </cell>
          <cell r="E47">
            <v>62300474.619999997</v>
          </cell>
          <cell r="F47">
            <v>146224421.59</v>
          </cell>
        </row>
        <row r="48">
          <cell r="A48" t="str">
            <v>18618</v>
          </cell>
          <cell r="B48" t="str">
            <v>RB-C-18618</v>
          </cell>
          <cell r="C48" t="str">
            <v/>
          </cell>
          <cell r="D48" t="str">
            <v>18618 Down paym made for oth services-3rd,B-c</v>
          </cell>
          <cell r="E48">
            <v>112288026.83</v>
          </cell>
          <cell r="F48">
            <v>136277234.06999999</v>
          </cell>
        </row>
        <row r="49">
          <cell r="A49" t="str">
            <v>AC_OA</v>
          </cell>
          <cell r="B49" t="str">
            <v>RB-C-AC_OA</v>
          </cell>
          <cell r="C49" t="str">
            <v/>
          </cell>
          <cell r="D49" t="str">
            <v>Total AC_OA Total: Other current assets</v>
          </cell>
          <cell r="E49">
            <v>480666551.44999999</v>
          </cell>
          <cell r="F49">
            <v>819686106.27999997</v>
          </cell>
        </row>
        <row r="50">
          <cell r="A50" t="str">
            <v>1901G</v>
          </cell>
          <cell r="B50" t="str">
            <v>RB-C-1901G</v>
          </cell>
          <cell r="C50" t="str">
            <v/>
          </cell>
          <cell r="D50" t="str">
            <v>Total: Business Gross Value Merchandise</v>
          </cell>
          <cell r="E50">
            <v>-76535584.969999999</v>
          </cell>
          <cell r="F50">
            <v>106866481.8</v>
          </cell>
        </row>
        <row r="51">
          <cell r="A51" t="str">
            <v>1901C</v>
          </cell>
          <cell r="B51" t="str">
            <v>RB-C-1901C</v>
          </cell>
          <cell r="C51" t="str">
            <v/>
          </cell>
          <cell r="D51" t="str">
            <v>Total: IFRS gross value Merchandise</v>
          </cell>
          <cell r="E51">
            <v>-76535584.969999999</v>
          </cell>
          <cell r="F51">
            <v>101930103.3</v>
          </cell>
        </row>
        <row r="52">
          <cell r="A52" t="str">
            <v>19019</v>
          </cell>
          <cell r="B52" t="str">
            <v>RB-C-19019</v>
          </cell>
          <cell r="C52" t="str">
            <v/>
          </cell>
          <cell r="D52" t="str">
            <v>19019 Total: IFRS BS Value Merchandise</v>
          </cell>
          <cell r="E52">
            <v>-76535584.969999999</v>
          </cell>
          <cell r="F52">
            <v>50492525.289999999</v>
          </cell>
        </row>
        <row r="53">
          <cell r="A53" t="str">
            <v>1903G</v>
          </cell>
          <cell r="B53" t="str">
            <v>RB-C-1903G</v>
          </cell>
          <cell r="C53" t="str">
            <v/>
          </cell>
          <cell r="D53" t="str">
            <v>Total: Business Gross Value Work in progress</v>
          </cell>
          <cell r="E53">
            <v>87103535.25</v>
          </cell>
          <cell r="F53">
            <v>73801443.730000004</v>
          </cell>
        </row>
        <row r="54">
          <cell r="A54" t="str">
            <v>1903C</v>
          </cell>
          <cell r="B54" t="str">
            <v>RB-C-1903C</v>
          </cell>
          <cell r="C54" t="str">
            <v/>
          </cell>
          <cell r="D54" t="str">
            <v>Total: IFRS gross value Work in progress</v>
          </cell>
          <cell r="E54">
            <v>87103535.25</v>
          </cell>
          <cell r="F54">
            <v>73801443.730000004</v>
          </cell>
        </row>
        <row r="55">
          <cell r="A55" t="str">
            <v>19039</v>
          </cell>
          <cell r="B55" t="str">
            <v>RB-C-19039</v>
          </cell>
          <cell r="C55" t="str">
            <v/>
          </cell>
          <cell r="D55" t="str">
            <v>19039 Total: IFRS BS Value Work in progress</v>
          </cell>
          <cell r="E55">
            <v>87103535.25</v>
          </cell>
          <cell r="F55">
            <v>73801443.730000004</v>
          </cell>
        </row>
        <row r="56">
          <cell r="A56" t="str">
            <v>1904G</v>
          </cell>
          <cell r="B56" t="str">
            <v>RB-C-1904G</v>
          </cell>
          <cell r="C56" t="str">
            <v/>
          </cell>
          <cell r="D56" t="str">
            <v>Total: Business Gross Value Raw materials and</v>
          </cell>
          <cell r="E56">
            <v>98703816.530000001</v>
          </cell>
          <cell r="F56">
            <v>88041102.560000002</v>
          </cell>
        </row>
        <row r="57">
          <cell r="A57" t="str">
            <v>1904C</v>
          </cell>
          <cell r="B57" t="str">
            <v>RB-C-1904C</v>
          </cell>
          <cell r="C57" t="str">
            <v/>
          </cell>
          <cell r="D57" t="str">
            <v>Total: IFRS gross value Raw materials and sup</v>
          </cell>
          <cell r="E57">
            <v>98703816.530000001</v>
          </cell>
          <cell r="F57">
            <v>88041102.560000002</v>
          </cell>
        </row>
        <row r="58">
          <cell r="A58" t="str">
            <v>19049</v>
          </cell>
          <cell r="B58" t="str">
            <v>RB-C-19049</v>
          </cell>
          <cell r="C58" t="str">
            <v/>
          </cell>
          <cell r="D58" t="str">
            <v>19049 Total: IFRS BS Value Raw mat. and suppl</v>
          </cell>
          <cell r="E58">
            <v>98703816.530000001</v>
          </cell>
          <cell r="F58">
            <v>50057212.759999998</v>
          </cell>
        </row>
        <row r="59">
          <cell r="A59" t="str">
            <v>1905C</v>
          </cell>
          <cell r="B59" t="str">
            <v>RB-C-1905C</v>
          </cell>
          <cell r="C59" t="str">
            <v/>
          </cell>
          <cell r="D59" t="str">
            <v>Total: IFRS Gross Value Prepayments Third P.</v>
          </cell>
          <cell r="E59">
            <v>-0.02</v>
          </cell>
          <cell r="F59">
            <v>0</v>
          </cell>
        </row>
        <row r="60">
          <cell r="A60" t="str">
            <v>19055</v>
          </cell>
          <cell r="B60" t="str">
            <v>RB-C-19055</v>
          </cell>
          <cell r="C60" t="str">
            <v/>
          </cell>
          <cell r="D60" t="str">
            <v>19055 Prepayments - Third p., N, B-a,B-c,B-f</v>
          </cell>
          <cell r="E60">
            <v>-0.02</v>
          </cell>
          <cell r="F60">
            <v>0</v>
          </cell>
        </row>
        <row r="61">
          <cell r="A61" t="str">
            <v>19059</v>
          </cell>
          <cell r="B61" t="str">
            <v>RB-C-19059</v>
          </cell>
          <cell r="C61" t="str">
            <v/>
          </cell>
          <cell r="D61" t="str">
            <v>19059 Total: IFRS BS Value Prepayments</v>
          </cell>
          <cell r="E61">
            <v>-0.02</v>
          </cell>
          <cell r="F61">
            <v>0</v>
          </cell>
        </row>
        <row r="62">
          <cell r="A62" t="str">
            <v>AC_IV</v>
          </cell>
          <cell r="B62" t="str">
            <v>RB-C-AC_IV</v>
          </cell>
          <cell r="C62" t="str">
            <v/>
          </cell>
          <cell r="D62" t="str">
            <v>Total AC_IV Total: Inventories</v>
          </cell>
          <cell r="E62">
            <v>109271766.79000001</v>
          </cell>
          <cell r="F62">
            <v>174351181.78</v>
          </cell>
        </row>
        <row r="63">
          <cell r="A63" t="str">
            <v>AC_TO</v>
          </cell>
          <cell r="B63" t="str">
            <v>RB-C-AC_TO</v>
          </cell>
          <cell r="C63" t="str">
            <v/>
          </cell>
          <cell r="D63" t="str">
            <v>Total AC_TO Total: Current assets</v>
          </cell>
          <cell r="E63">
            <v>46555971040.029999</v>
          </cell>
          <cell r="F63">
            <v>53865272359.550003</v>
          </cell>
        </row>
        <row r="64">
          <cell r="A64" t="str">
            <v>1430C</v>
          </cell>
          <cell r="B64" t="str">
            <v>RB-C-1430C</v>
          </cell>
          <cell r="C64" t="str">
            <v/>
          </cell>
          <cell r="D64" t="str">
            <v>Costs</v>
          </cell>
          <cell r="E64">
            <v>18799038570.119999</v>
          </cell>
          <cell r="F64">
            <v>18364653190.119999</v>
          </cell>
        </row>
        <row r="65">
          <cell r="A65" t="str">
            <v>14300</v>
          </cell>
          <cell r="B65" t="str">
            <v>RB-C-14300</v>
          </cell>
          <cell r="C65" t="str">
            <v/>
          </cell>
          <cell r="D65" t="str">
            <v>14300 Investments - K</v>
          </cell>
          <cell r="E65">
            <v>18799038570.119999</v>
          </cell>
          <cell r="F65">
            <v>18364653190.119999</v>
          </cell>
        </row>
        <row r="66">
          <cell r="A66" t="str">
            <v>1436D</v>
          </cell>
          <cell r="B66" t="str">
            <v>RB-C-1436D</v>
          </cell>
          <cell r="C66" t="str">
            <v/>
          </cell>
          <cell r="D66" t="str">
            <v>Accumulated Depreciation</v>
          </cell>
          <cell r="E66">
            <v>31762578</v>
          </cell>
          <cell r="F66">
            <v>31762578</v>
          </cell>
        </row>
        <row r="67">
          <cell r="A67" t="str">
            <v>14360</v>
          </cell>
          <cell r="B67" t="str">
            <v>RB-C-14360</v>
          </cell>
          <cell r="C67" t="str">
            <v/>
          </cell>
          <cell r="D67" t="str">
            <v>14360 Investments - B-c FVOCI nR</v>
          </cell>
          <cell r="E67">
            <v>31762578</v>
          </cell>
          <cell r="F67">
            <v>31762578</v>
          </cell>
        </row>
        <row r="68">
          <cell r="A68" t="str">
            <v>AN_IN</v>
          </cell>
          <cell r="B68" t="str">
            <v>RB-C-AN_IN</v>
          </cell>
          <cell r="C68" t="str">
            <v/>
          </cell>
          <cell r="D68" t="str">
            <v>AN_IN Total: Investments (wo B-a)</v>
          </cell>
          <cell r="E68">
            <v>18830801148.119999</v>
          </cell>
          <cell r="F68">
            <v>18396415768.119999</v>
          </cell>
        </row>
        <row r="69">
          <cell r="A69" t="str">
            <v>1521E</v>
          </cell>
          <cell r="B69" t="str">
            <v>RB-C-1521E</v>
          </cell>
          <cell r="C69" t="str">
            <v/>
          </cell>
          <cell r="D69" t="str">
            <v/>
          </cell>
          <cell r="E69">
            <v>470978480.72000003</v>
          </cell>
          <cell r="F69">
            <v>463826819.91000003</v>
          </cell>
        </row>
        <row r="70">
          <cell r="A70" t="str">
            <v>15210</v>
          </cell>
          <cell r="B70" t="str">
            <v>RB-C-15210</v>
          </cell>
          <cell r="C70" t="str">
            <v/>
          </cell>
          <cell r="D70" t="str">
            <v>15210 Loans &gt; 1 year - Third parties, B-c,B-f</v>
          </cell>
          <cell r="E70">
            <v>470978480.72000003</v>
          </cell>
          <cell r="F70">
            <v>463826819.91000003</v>
          </cell>
        </row>
        <row r="71">
          <cell r="A71" t="str">
            <v>1521C</v>
          </cell>
          <cell r="B71" t="str">
            <v>RB-C-1521C</v>
          </cell>
          <cell r="C71" t="str">
            <v/>
          </cell>
          <cell r="D71" t="str">
            <v/>
          </cell>
          <cell r="E71">
            <v>73245728</v>
          </cell>
          <cell r="F71">
            <v>70800455.569999993</v>
          </cell>
        </row>
        <row r="72">
          <cell r="A72" t="str">
            <v>1521D</v>
          </cell>
          <cell r="B72" t="str">
            <v>RB-C-1521D</v>
          </cell>
          <cell r="C72" t="str">
            <v/>
          </cell>
          <cell r="D72" t="str">
            <v/>
          </cell>
          <cell r="E72">
            <v>-1464915</v>
          </cell>
          <cell r="F72">
            <v>-1416009.11</v>
          </cell>
        </row>
        <row r="73">
          <cell r="A73" t="str">
            <v>15215</v>
          </cell>
          <cell r="B73" t="str">
            <v>RB-C-15215</v>
          </cell>
          <cell r="C73" t="str">
            <v/>
          </cell>
          <cell r="D73" t="str">
            <v>15215 Loans &gt; 1 year - employees</v>
          </cell>
          <cell r="E73">
            <v>71780813</v>
          </cell>
          <cell r="F73">
            <v>69384446.459999993</v>
          </cell>
        </row>
        <row r="74">
          <cell r="A74" t="str">
            <v>15220</v>
          </cell>
          <cell r="B74" t="str">
            <v>RB-C-15220</v>
          </cell>
          <cell r="C74" t="str">
            <v/>
          </cell>
          <cell r="D74" t="str">
            <v>15220 Loans &gt; 1 year - K</v>
          </cell>
          <cell r="E74">
            <v>46610000</v>
          </cell>
          <cell r="F74">
            <v>0</v>
          </cell>
        </row>
        <row r="75">
          <cell r="A75" t="str">
            <v>15289</v>
          </cell>
          <cell r="B75" t="str">
            <v>RB-C-15289</v>
          </cell>
          <cell r="C75" t="str">
            <v/>
          </cell>
          <cell r="D75" t="str">
            <v>15289 Total: Loans &gt; 1 year</v>
          </cell>
          <cell r="E75">
            <v>589369293.72000003</v>
          </cell>
          <cell r="F75">
            <v>533211266.37</v>
          </cell>
        </row>
        <row r="76">
          <cell r="A76" t="str">
            <v>1530C</v>
          </cell>
          <cell r="B76" t="str">
            <v>RB-C-1530C</v>
          </cell>
          <cell r="C76" t="str">
            <v/>
          </cell>
          <cell r="D76" t="str">
            <v/>
          </cell>
          <cell r="E76">
            <v>215934575.41</v>
          </cell>
          <cell r="F76">
            <v>319283695</v>
          </cell>
        </row>
        <row r="77">
          <cell r="A77" t="str">
            <v>1530D</v>
          </cell>
          <cell r="B77" t="str">
            <v>RB-C-1530D</v>
          </cell>
          <cell r="C77" t="str">
            <v/>
          </cell>
          <cell r="D77" t="str">
            <v/>
          </cell>
          <cell r="E77">
            <v>-0.01</v>
          </cell>
          <cell r="F77">
            <v>-0.01</v>
          </cell>
        </row>
        <row r="78">
          <cell r="A78" t="str">
            <v>15305</v>
          </cell>
          <cell r="B78" t="str">
            <v>RB-C-15305</v>
          </cell>
          <cell r="C78" t="str">
            <v/>
          </cell>
          <cell r="D78" t="str">
            <v>15305 Receiv. f. fin. lease (lessor) &gt; 1 year</v>
          </cell>
          <cell r="E78">
            <v>215934575.40000001</v>
          </cell>
          <cell r="F78">
            <v>319283694.99000001</v>
          </cell>
        </row>
        <row r="79">
          <cell r="A79" t="str">
            <v>1531E</v>
          </cell>
          <cell r="B79" t="str">
            <v>RB-C-1531E</v>
          </cell>
          <cell r="C79" t="str">
            <v/>
          </cell>
          <cell r="D79" t="str">
            <v/>
          </cell>
          <cell r="E79">
            <v>1528872804</v>
          </cell>
          <cell r="F79">
            <v>1531308915.6400001</v>
          </cell>
        </row>
        <row r="80">
          <cell r="A80" t="str">
            <v>1531F</v>
          </cell>
          <cell r="B80" t="str">
            <v>RB-C-1531F</v>
          </cell>
          <cell r="C80" t="str">
            <v/>
          </cell>
          <cell r="D80" t="str">
            <v/>
          </cell>
          <cell r="E80">
            <v>-30577456</v>
          </cell>
          <cell r="F80">
            <v>-31251202.359999999</v>
          </cell>
        </row>
        <row r="81">
          <cell r="A81" t="str">
            <v>15312</v>
          </cell>
          <cell r="B81" t="str">
            <v>RB-C-15312</v>
          </cell>
          <cell r="C81" t="str">
            <v/>
          </cell>
          <cell r="D81" t="str">
            <v>15312 Other financial receivables &gt;1 year th.</v>
          </cell>
          <cell r="E81">
            <v>1498295348</v>
          </cell>
          <cell r="F81">
            <v>1500057713.28</v>
          </cell>
        </row>
        <row r="82">
          <cell r="A82" t="str">
            <v>AN_FA</v>
          </cell>
          <cell r="B82" t="str">
            <v>RB-C-AN_FA</v>
          </cell>
          <cell r="C82" t="str">
            <v/>
          </cell>
          <cell r="D82" t="str">
            <v>Total AN_FA Total: Oth non-curr fin assets&gt;1y</v>
          </cell>
          <cell r="E82">
            <v>21134400365.240002</v>
          </cell>
          <cell r="F82">
            <v>20748968442.759998</v>
          </cell>
        </row>
        <row r="83">
          <cell r="A83" t="str">
            <v>1550C</v>
          </cell>
          <cell r="B83" t="str">
            <v>RB-C-1550C</v>
          </cell>
          <cell r="C83" t="str">
            <v/>
          </cell>
          <cell r="D83" t="str">
            <v/>
          </cell>
          <cell r="E83">
            <v>859173132.60000002</v>
          </cell>
          <cell r="F83">
            <v>0</v>
          </cell>
        </row>
        <row r="84">
          <cell r="A84" t="str">
            <v>15500</v>
          </cell>
          <cell r="B84" t="str">
            <v>RB-C-15500</v>
          </cell>
          <cell r="C84" t="str">
            <v/>
          </cell>
          <cell r="D84" t="str">
            <v>15500 CA: Sales over time &gt; 1 y - 3rd, N, B-a</v>
          </cell>
          <cell r="E84">
            <v>859173132.60000002</v>
          </cell>
          <cell r="F84">
            <v>0</v>
          </cell>
        </row>
        <row r="85">
          <cell r="A85" t="str">
            <v>AN_CA</v>
          </cell>
          <cell r="B85" t="str">
            <v>RB-C-AN_CA</v>
          </cell>
          <cell r="C85" t="str">
            <v/>
          </cell>
          <cell r="D85" t="str">
            <v>Total AN_CA Total: Contract assets (CA) &gt; 1 y</v>
          </cell>
          <cell r="E85">
            <v>859173132.60000002</v>
          </cell>
          <cell r="F85">
            <v>0</v>
          </cell>
        </row>
        <row r="86">
          <cell r="A86" t="str">
            <v>15315</v>
          </cell>
          <cell r="B86" t="str">
            <v>RB-C-15315</v>
          </cell>
          <cell r="C86" t="str">
            <v/>
          </cell>
          <cell r="D86" t="str">
            <v>15315 Income tax receivables &gt; 1 y</v>
          </cell>
          <cell r="E86">
            <v>1688538995</v>
          </cell>
          <cell r="F86">
            <v>32618080.219999999</v>
          </cell>
        </row>
        <row r="87">
          <cell r="A87" t="str">
            <v>AN_IT</v>
          </cell>
          <cell r="B87" t="str">
            <v>RB-C-AN_IT</v>
          </cell>
          <cell r="C87" t="str">
            <v/>
          </cell>
          <cell r="D87" t="str">
            <v>Total AN_IT Total: Income tax receivables&gt;1y</v>
          </cell>
          <cell r="E87">
            <v>1688538995</v>
          </cell>
          <cell r="F87">
            <v>32618080.219999999</v>
          </cell>
        </row>
        <row r="88">
          <cell r="A88" t="str">
            <v>1200C</v>
          </cell>
          <cell r="B88" t="str">
            <v>RB-C-1200C</v>
          </cell>
          <cell r="C88" t="str">
            <v/>
          </cell>
          <cell r="D88" t="str">
            <v>Costs</v>
          </cell>
          <cell r="E88">
            <v>3520370272.3800001</v>
          </cell>
          <cell r="F88">
            <v>3518546402.3800001</v>
          </cell>
        </row>
        <row r="89">
          <cell r="A89" t="str">
            <v>1200D</v>
          </cell>
          <cell r="B89" t="str">
            <v>RB-C-1200D</v>
          </cell>
          <cell r="C89" t="str">
            <v/>
          </cell>
          <cell r="D89" t="str">
            <v>Accumulated Depreciation</v>
          </cell>
          <cell r="E89">
            <v>-1750981626.25</v>
          </cell>
          <cell r="F89">
            <v>-1706541778.8900001</v>
          </cell>
        </row>
        <row r="90">
          <cell r="A90" t="str">
            <v>12000</v>
          </cell>
          <cell r="B90" t="str">
            <v>RB-C-12000</v>
          </cell>
          <cell r="C90" t="str">
            <v/>
          </cell>
          <cell r="D90" t="str">
            <v>12000 Land, land rights and buildings</v>
          </cell>
          <cell r="E90">
            <v>1769388646.1300001</v>
          </cell>
          <cell r="F90">
            <v>1812004623.49</v>
          </cell>
        </row>
        <row r="91">
          <cell r="A91" t="str">
            <v>1202C</v>
          </cell>
          <cell r="B91" t="str">
            <v>RB-C-1202C</v>
          </cell>
          <cell r="C91" t="str">
            <v/>
          </cell>
          <cell r="D91" t="str">
            <v>Costs</v>
          </cell>
          <cell r="E91">
            <v>4799425422.2600002</v>
          </cell>
          <cell r="F91">
            <v>4782813092.8299999</v>
          </cell>
        </row>
        <row r="92">
          <cell r="A92" t="str">
            <v>1202D</v>
          </cell>
          <cell r="B92" t="str">
            <v>RB-C-1202D</v>
          </cell>
          <cell r="C92" t="str">
            <v/>
          </cell>
          <cell r="D92" t="str">
            <v>Accumulated Depreciation</v>
          </cell>
          <cell r="E92">
            <v>-2364669639.3800001</v>
          </cell>
          <cell r="F92">
            <v>-2289696556.5500002</v>
          </cell>
        </row>
        <row r="93">
          <cell r="A93" t="str">
            <v>12020</v>
          </cell>
          <cell r="B93" t="str">
            <v>RB-C-12020</v>
          </cell>
          <cell r="C93" t="str">
            <v/>
          </cell>
          <cell r="D93" t="str">
            <v>12020 Technical plant and equipment</v>
          </cell>
          <cell r="E93">
            <v>2434755782.8800001</v>
          </cell>
          <cell r="F93">
            <v>2493116536.2800002</v>
          </cell>
        </row>
        <row r="94">
          <cell r="A94" t="str">
            <v>1203C</v>
          </cell>
          <cell r="B94" t="str">
            <v>RB-C-1203C</v>
          </cell>
          <cell r="C94" t="str">
            <v/>
          </cell>
          <cell r="D94" t="str">
            <v>Costs</v>
          </cell>
          <cell r="E94">
            <v>19916685509.32</v>
          </cell>
          <cell r="F94">
            <v>19647709639.419998</v>
          </cell>
        </row>
        <row r="95">
          <cell r="A95" t="str">
            <v>1203D</v>
          </cell>
          <cell r="B95" t="str">
            <v>RB-C-1203D</v>
          </cell>
          <cell r="C95" t="str">
            <v/>
          </cell>
          <cell r="D95" t="str">
            <v>Accumulated Depreciation</v>
          </cell>
          <cell r="E95">
            <v>-13788568636.4</v>
          </cell>
          <cell r="F95">
            <v>-13315246463.950001</v>
          </cell>
        </row>
        <row r="96">
          <cell r="A96" t="str">
            <v>12030</v>
          </cell>
          <cell r="B96" t="str">
            <v>RB-C-12030</v>
          </cell>
          <cell r="C96" t="str">
            <v/>
          </cell>
          <cell r="D96" t="str">
            <v>12030 Other, office and operating equipment</v>
          </cell>
          <cell r="E96">
            <v>6128116872.9200001</v>
          </cell>
          <cell r="F96">
            <v>6332463175.4700003</v>
          </cell>
        </row>
        <row r="97">
          <cell r="A97" t="str">
            <v>1205C</v>
          </cell>
          <cell r="B97" t="str">
            <v>RB-C-1205C</v>
          </cell>
          <cell r="C97" t="str">
            <v/>
          </cell>
          <cell r="D97" t="str">
            <v>Costs</v>
          </cell>
          <cell r="E97">
            <v>839726706.59000003</v>
          </cell>
          <cell r="F97">
            <v>1008013943.41</v>
          </cell>
        </row>
        <row r="98">
          <cell r="A98" t="str">
            <v>12050</v>
          </cell>
          <cell r="B98" t="str">
            <v>RB-C-12050</v>
          </cell>
          <cell r="C98" t="str">
            <v/>
          </cell>
          <cell r="D98" t="str">
            <v>12050 Construction in progress</v>
          </cell>
          <cell r="E98">
            <v>839726706.59000003</v>
          </cell>
          <cell r="F98">
            <v>1008013943.41</v>
          </cell>
        </row>
        <row r="99">
          <cell r="A99" t="str">
            <v>1206C</v>
          </cell>
          <cell r="B99" t="str">
            <v>RB-C-1206C</v>
          </cell>
          <cell r="C99" t="str">
            <v/>
          </cell>
          <cell r="D99" t="str">
            <v>Costs</v>
          </cell>
          <cell r="E99">
            <v>4397320.7300000004</v>
          </cell>
          <cell r="F99">
            <v>4397320.7300000004</v>
          </cell>
        </row>
        <row r="100">
          <cell r="A100" t="str">
            <v>12061</v>
          </cell>
          <cell r="B100" t="str">
            <v>RB-C-12061</v>
          </cell>
          <cell r="C100" t="str">
            <v/>
          </cell>
          <cell r="D100" t="str">
            <v>12061 Prepayments on plant and equip 3rd,B-a</v>
          </cell>
          <cell r="E100">
            <v>4397320.7300000004</v>
          </cell>
          <cell r="F100">
            <v>4397320.7300000004</v>
          </cell>
        </row>
        <row r="101">
          <cell r="A101" t="str">
            <v>AN_TF</v>
          </cell>
          <cell r="B101" t="str">
            <v>RB-C-AN_TF</v>
          </cell>
          <cell r="C101" t="str">
            <v/>
          </cell>
          <cell r="D101" t="str">
            <v>Total AN_TF Total: Tangible fixed assets</v>
          </cell>
          <cell r="E101">
            <v>11176385329.25</v>
          </cell>
          <cell r="F101">
            <v>11649995599.379999</v>
          </cell>
        </row>
        <row r="102">
          <cell r="A102" t="str">
            <v>1300C</v>
          </cell>
          <cell r="B102" t="str">
            <v>RB-C-1300C</v>
          </cell>
          <cell r="C102" t="str">
            <v/>
          </cell>
          <cell r="D102" t="str">
            <v>Costs</v>
          </cell>
          <cell r="E102">
            <v>17650000718.060001</v>
          </cell>
          <cell r="F102">
            <v>17176513859.040001</v>
          </cell>
        </row>
        <row r="103">
          <cell r="A103" t="str">
            <v>1300D</v>
          </cell>
          <cell r="B103" t="str">
            <v>RB-C-1300D</v>
          </cell>
          <cell r="C103" t="str">
            <v/>
          </cell>
          <cell r="D103" t="str">
            <v>Accumulated Depreciation</v>
          </cell>
          <cell r="E103">
            <v>-9219744628.8299999</v>
          </cell>
          <cell r="F103">
            <v>-8867861867.5599995</v>
          </cell>
        </row>
        <row r="104">
          <cell r="A104" t="str">
            <v>13000</v>
          </cell>
          <cell r="B104" t="str">
            <v>RB-C-13000</v>
          </cell>
          <cell r="C104" t="str">
            <v/>
          </cell>
          <cell r="D104" t="str">
            <v>13000 Leasing land, land rights and buildings</v>
          </cell>
          <cell r="E104">
            <v>8430256089.2299995</v>
          </cell>
          <cell r="F104">
            <v>8308651991.4799995</v>
          </cell>
        </row>
        <row r="105">
          <cell r="A105" t="str">
            <v>AN_RU</v>
          </cell>
          <cell r="B105" t="str">
            <v>RB-C-AN_RU</v>
          </cell>
          <cell r="C105" t="str">
            <v/>
          </cell>
          <cell r="D105" t="str">
            <v>Total AN_RU Total: Right-of-use assets leas.</v>
          </cell>
          <cell r="E105">
            <v>8430256089.2299995</v>
          </cell>
          <cell r="F105">
            <v>8308651991.4799995</v>
          </cell>
        </row>
        <row r="106">
          <cell r="A106" t="str">
            <v>1122C</v>
          </cell>
          <cell r="B106" t="str">
            <v>RB-C-1122C</v>
          </cell>
          <cell r="C106" t="str">
            <v/>
          </cell>
          <cell r="D106" t="str">
            <v>Costs</v>
          </cell>
          <cell r="E106">
            <v>906402266.94000006</v>
          </cell>
          <cell r="F106">
            <v>869790057.66999996</v>
          </cell>
        </row>
        <row r="107">
          <cell r="A107" t="str">
            <v>1122D</v>
          </cell>
          <cell r="B107" t="str">
            <v>RB-C-1122D</v>
          </cell>
          <cell r="C107" t="str">
            <v/>
          </cell>
          <cell r="D107" t="str">
            <v>Accumulated Depreciation</v>
          </cell>
          <cell r="E107">
            <v>-890547343.01999998</v>
          </cell>
          <cell r="F107">
            <v>-867999151.89999998</v>
          </cell>
        </row>
        <row r="108">
          <cell r="A108" t="str">
            <v>11220</v>
          </cell>
          <cell r="B108" t="str">
            <v>RB-C-11220</v>
          </cell>
          <cell r="C108" t="str">
            <v/>
          </cell>
          <cell r="D108" t="str">
            <v>11220 Software, acquired</v>
          </cell>
          <cell r="E108">
            <v>15854923.92</v>
          </cell>
          <cell r="F108">
            <v>1790905.77</v>
          </cell>
        </row>
        <row r="109">
          <cell r="A109" t="str">
            <v>11299</v>
          </cell>
          <cell r="B109" t="str">
            <v>RB-C-11299</v>
          </cell>
          <cell r="C109" t="str">
            <v/>
          </cell>
          <cell r="D109" t="str">
            <v>11299 Total: Intangible assets, acquired</v>
          </cell>
          <cell r="E109">
            <v>15854923.92</v>
          </cell>
          <cell r="F109">
            <v>1790905.77</v>
          </cell>
        </row>
        <row r="110">
          <cell r="A110" t="str">
            <v>AN_IA</v>
          </cell>
          <cell r="B110" t="str">
            <v>RB-C-AN_IA</v>
          </cell>
          <cell r="C110" t="str">
            <v/>
          </cell>
          <cell r="D110" t="str">
            <v>Total AN_IA Total: Intangible assets</v>
          </cell>
          <cell r="E110">
            <v>15854923.92</v>
          </cell>
          <cell r="F110">
            <v>1790905.77</v>
          </cell>
        </row>
        <row r="111">
          <cell r="A111" t="str">
            <v>15300</v>
          </cell>
          <cell r="B111" t="str">
            <v>RB-C-15300</v>
          </cell>
          <cell r="C111" t="str">
            <v/>
          </cell>
          <cell r="D111" t="str">
            <v>15300 Receivables f. pensionfunds,overaccrued</v>
          </cell>
          <cell r="E111">
            <v>2076899590</v>
          </cell>
          <cell r="F111">
            <v>2076899590</v>
          </cell>
        </row>
        <row r="112">
          <cell r="A112" t="str">
            <v>15310</v>
          </cell>
          <cell r="B112" t="str">
            <v>RB-C-15310</v>
          </cell>
          <cell r="C112" t="str">
            <v/>
          </cell>
          <cell r="D112" t="str">
            <v>15310 Other sundry receiv.&gt;1 y.-Th.p.,B-c,B-f</v>
          </cell>
          <cell r="E112">
            <v>0.32</v>
          </cell>
          <cell r="F112">
            <v>155689061.68000001</v>
          </cell>
        </row>
        <row r="113">
          <cell r="A113" t="str">
            <v>15316</v>
          </cell>
          <cell r="B113" t="str">
            <v>RB-C-15316</v>
          </cell>
          <cell r="C113" t="str">
            <v/>
          </cell>
          <cell r="D113" t="str">
            <v>15316 Other tax receivables &gt; 1 year</v>
          </cell>
          <cell r="E113">
            <v>4092729582</v>
          </cell>
          <cell r="F113">
            <v>3932593932.4200001</v>
          </cell>
        </row>
        <row r="114">
          <cell r="A114" t="str">
            <v>AN_OA</v>
          </cell>
          <cell r="B114" t="str">
            <v>RB-C-AN_OA</v>
          </cell>
          <cell r="C114" t="str">
            <v/>
          </cell>
          <cell r="D114" t="str">
            <v>Total AN_OA Total: Other non-current assets</v>
          </cell>
          <cell r="E114">
            <v>6169629172.3199997</v>
          </cell>
          <cell r="F114">
            <v>6165182584.1000004</v>
          </cell>
        </row>
        <row r="115">
          <cell r="A115" t="str">
            <v>15600</v>
          </cell>
          <cell r="B115" t="str">
            <v>RB-C-15600</v>
          </cell>
          <cell r="C115" t="str">
            <v/>
          </cell>
          <cell r="D115" t="str">
            <v>15600 Deferred tax assets</v>
          </cell>
          <cell r="E115">
            <v>2915481341.9499998</v>
          </cell>
          <cell r="F115">
            <v>2529714494.77</v>
          </cell>
        </row>
        <row r="116">
          <cell r="A116" t="str">
            <v>AN_DT</v>
          </cell>
          <cell r="B116" t="str">
            <v>RB-C-AN_DT</v>
          </cell>
          <cell r="C116" t="str">
            <v/>
          </cell>
          <cell r="D116" t="str">
            <v>Total AN_DT Total: Deferred tax assets</v>
          </cell>
          <cell r="E116">
            <v>2915481341.9499998</v>
          </cell>
          <cell r="F116">
            <v>2529714494.77</v>
          </cell>
        </row>
        <row r="117">
          <cell r="A117" t="str">
            <v>AN_TO</v>
          </cell>
          <cell r="B117" t="str">
            <v>RB-C-AN_TO</v>
          </cell>
          <cell r="C117" t="str">
            <v/>
          </cell>
          <cell r="D117" t="str">
            <v>Total AN_TO Total: Non-current assets</v>
          </cell>
          <cell r="E117">
            <v>52389719349.510002</v>
          </cell>
          <cell r="F117">
            <v>49436922098.480003</v>
          </cell>
        </row>
        <row r="118">
          <cell r="A118" t="str">
            <v>A_TOT</v>
          </cell>
          <cell r="B118" t="str">
            <v>RB-C-A_TOT</v>
          </cell>
          <cell r="C118" t="str">
            <v/>
          </cell>
          <cell r="D118" t="str">
            <v>Total A_TOT Total: Assets</v>
          </cell>
          <cell r="E118">
            <v>98945690389.539993</v>
          </cell>
          <cell r="F118">
            <v>103302194458.03</v>
          </cell>
        </row>
        <row r="119">
          <cell r="A119" t="str">
            <v>20100</v>
          </cell>
          <cell r="B119" t="str">
            <v>RB-C-20100</v>
          </cell>
          <cell r="C119" t="str">
            <v/>
          </cell>
          <cell r="D119" t="str">
            <v>20100 Trade payables  - Third parties,B-c,B-f</v>
          </cell>
          <cell r="E119">
            <v>-5048384363.0100002</v>
          </cell>
          <cell r="F119">
            <v>-7963546834.4399996</v>
          </cell>
        </row>
        <row r="120">
          <cell r="A120" t="str">
            <v>2012I</v>
          </cell>
          <cell r="B120" t="str">
            <v>RB-C-2012I</v>
          </cell>
          <cell r="C120" t="str">
            <v/>
          </cell>
          <cell r="D120" t="str">
            <v>Trade payables - K - Intrasegment</v>
          </cell>
          <cell r="E120">
            <v>-4015849430.6700001</v>
          </cell>
          <cell r="F120">
            <v>-4296996330.5</v>
          </cell>
        </row>
        <row r="121">
          <cell r="A121" t="str">
            <v>20120</v>
          </cell>
          <cell r="B121" t="str">
            <v>RB-C-20120</v>
          </cell>
          <cell r="C121" t="str">
            <v/>
          </cell>
          <cell r="D121" t="str">
            <v>20120 Trade payables - K</v>
          </cell>
          <cell r="E121">
            <v>-4015849430.6700001</v>
          </cell>
          <cell r="F121">
            <v>-4296996330.5</v>
          </cell>
        </row>
        <row r="122">
          <cell r="A122" t="str">
            <v>2012L</v>
          </cell>
          <cell r="B122" t="str">
            <v>RB-C-2012L</v>
          </cell>
          <cell r="C122" t="str">
            <v/>
          </cell>
          <cell r="D122" t="str">
            <v/>
          </cell>
          <cell r="E122">
            <v>-8508157.8800000008</v>
          </cell>
          <cell r="F122">
            <v>-237931544.69999999</v>
          </cell>
        </row>
        <row r="123">
          <cell r="A123" t="str">
            <v>20125</v>
          </cell>
          <cell r="B123" t="str">
            <v>RB-C-20125</v>
          </cell>
          <cell r="C123" t="str">
            <v/>
          </cell>
          <cell r="D123" t="str">
            <v/>
          </cell>
          <cell r="E123">
            <v>-8508157.8800000008</v>
          </cell>
          <cell r="F123">
            <v>-237931544.69999999</v>
          </cell>
        </row>
        <row r="124">
          <cell r="A124" t="str">
            <v>20140</v>
          </cell>
          <cell r="B124" t="str">
            <v>RB-C-20140</v>
          </cell>
          <cell r="C124" t="str">
            <v/>
          </cell>
          <cell r="D124" t="str">
            <v>20140 Trade payables - N</v>
          </cell>
          <cell r="E124">
            <v>-44746308</v>
          </cell>
          <cell r="F124">
            <v>-44746309</v>
          </cell>
        </row>
        <row r="125">
          <cell r="A125" t="str">
            <v>20179</v>
          </cell>
          <cell r="B125" t="str">
            <v>RB-C-20179</v>
          </cell>
          <cell r="C125" t="str">
            <v/>
          </cell>
          <cell r="D125" t="str">
            <v>20179 Total: Trade payables</v>
          </cell>
          <cell r="E125">
            <v>-9117488259.5599995</v>
          </cell>
          <cell r="F125">
            <v>-12543221018.639999</v>
          </cell>
        </row>
        <row r="126">
          <cell r="A126" t="str">
            <v>LC_AP</v>
          </cell>
          <cell r="B126" t="str">
            <v>RB-C-LC_AP</v>
          </cell>
          <cell r="C126" t="str">
            <v/>
          </cell>
          <cell r="D126" t="str">
            <v>Total LC_AP Total:Trade payab. and notes pay.</v>
          </cell>
          <cell r="E126">
            <v>-9117488259.5599995</v>
          </cell>
          <cell r="F126">
            <v>-12543221018.639999</v>
          </cell>
        </row>
        <row r="127">
          <cell r="A127" t="str">
            <v>21500</v>
          </cell>
          <cell r="B127" t="str">
            <v>RB-C-21500</v>
          </cell>
          <cell r="C127" t="str">
            <v/>
          </cell>
          <cell r="D127" t="str">
            <v>21500 Lease liabilities (lessee) &lt; 1 y</v>
          </cell>
          <cell r="E127">
            <v>-2666177723.3499999</v>
          </cell>
          <cell r="F127">
            <v>-2297422949.1199999</v>
          </cell>
        </row>
        <row r="128">
          <cell r="A128" t="str">
            <v>LC_LL</v>
          </cell>
          <cell r="B128" t="str">
            <v>RB-C-LC_LL</v>
          </cell>
          <cell r="C128" t="str">
            <v/>
          </cell>
          <cell r="D128" t="str">
            <v>Total LC_LL Lease liabilities (lessee) &lt; 1 y</v>
          </cell>
          <cell r="E128">
            <v>-2666177723.3499999</v>
          </cell>
          <cell r="F128">
            <v>-2297422949.1199999</v>
          </cell>
        </row>
        <row r="129">
          <cell r="A129" t="str">
            <v>21305</v>
          </cell>
          <cell r="B129" t="str">
            <v>RB-C-21305</v>
          </cell>
          <cell r="C129" t="str">
            <v/>
          </cell>
          <cell r="D129" t="str">
            <v>21305 Derivatives w/o hedge &lt; 1 y - 3r</v>
          </cell>
          <cell r="E129">
            <v>-1425368884</v>
          </cell>
          <cell r="F129">
            <v>-566106006.01999998</v>
          </cell>
        </row>
        <row r="130">
          <cell r="A130" t="str">
            <v>21318</v>
          </cell>
          <cell r="B130" t="str">
            <v>RB-C-21318</v>
          </cell>
          <cell r="C130" t="str">
            <v/>
          </cell>
          <cell r="D130" t="str">
            <v>21318 Other financial liabilities &lt; 1 year th</v>
          </cell>
          <cell r="E130">
            <v>-419230778.69</v>
          </cell>
          <cell r="F130">
            <v>-1206441268.1800001</v>
          </cell>
        </row>
        <row r="131">
          <cell r="A131" t="str">
            <v>21324</v>
          </cell>
          <cell r="B131" t="str">
            <v>RB-C-21324</v>
          </cell>
          <cell r="C131" t="str">
            <v/>
          </cell>
          <cell r="D131" t="str">
            <v>21324 Debtors with credit balances K</v>
          </cell>
          <cell r="E131">
            <v>-29669370</v>
          </cell>
          <cell r="F131">
            <v>-8816775.7699999996</v>
          </cell>
        </row>
        <row r="132">
          <cell r="A132" t="str">
            <v>21391</v>
          </cell>
          <cell r="B132" t="str">
            <v>RB-C-21391</v>
          </cell>
          <cell r="C132" t="str">
            <v/>
          </cell>
          <cell r="D132" t="str">
            <v>21391 Financial liabil. to board members, emp</v>
          </cell>
          <cell r="E132">
            <v>-1554792864.26</v>
          </cell>
          <cell r="F132">
            <v>102783208.72</v>
          </cell>
        </row>
        <row r="133">
          <cell r="A133" t="str">
            <v>LC_FL</v>
          </cell>
          <cell r="B133" t="str">
            <v>RB-C-LC_FL</v>
          </cell>
          <cell r="C133" t="str">
            <v/>
          </cell>
          <cell r="D133" t="str">
            <v>Total LC_FL Total: Financial liabilities &lt; 1y</v>
          </cell>
          <cell r="E133">
            <v>-3429061896.9499998</v>
          </cell>
          <cell r="F133">
            <v>-1678580841.25</v>
          </cell>
        </row>
        <row r="134">
          <cell r="A134" t="str">
            <v>20200</v>
          </cell>
          <cell r="B134" t="str">
            <v>RB-C-20200</v>
          </cell>
          <cell r="C134" t="str">
            <v/>
          </cell>
          <cell r="D134" t="str">
            <v>20200 CL: Sales over time &lt; 1 y - 3rd, N, B-a</v>
          </cell>
          <cell r="E134">
            <v>-189937901.33000001</v>
          </cell>
          <cell r="F134">
            <v>-189093491.71000001</v>
          </cell>
        </row>
        <row r="135">
          <cell r="A135" t="str">
            <v>20210</v>
          </cell>
          <cell r="B135" t="str">
            <v>RB-C-20210</v>
          </cell>
          <cell r="C135" t="str">
            <v/>
          </cell>
          <cell r="D135" t="str">
            <v>20210 CL: Prepayment received&lt;1 yr 3rd,N, etc</v>
          </cell>
          <cell r="E135">
            <v>-43316145.409999996</v>
          </cell>
          <cell r="F135">
            <v>-508161963.61000001</v>
          </cell>
        </row>
        <row r="136">
          <cell r="A136" t="str">
            <v>20220</v>
          </cell>
          <cell r="B136" t="str">
            <v>RB-C-20220</v>
          </cell>
          <cell r="C136" t="str">
            <v/>
          </cell>
          <cell r="D136" t="str">
            <v>20220 CL: Prepayments received &lt;1 year K</v>
          </cell>
          <cell r="E136">
            <v>-42398464.530000001</v>
          </cell>
          <cell r="F136">
            <v>-46465753.880000003</v>
          </cell>
        </row>
        <row r="137">
          <cell r="A137" t="str">
            <v>LC_CL</v>
          </cell>
          <cell r="B137" t="str">
            <v>RB-C-LC_CL</v>
          </cell>
          <cell r="C137" t="str">
            <v/>
          </cell>
          <cell r="D137" t="str">
            <v>Total LC_CL Total: Ctr. liabilities (CL) &lt; 1y</v>
          </cell>
          <cell r="E137">
            <v>-275652511.26999998</v>
          </cell>
          <cell r="F137">
            <v>-743721209.20000005</v>
          </cell>
        </row>
        <row r="138">
          <cell r="A138" t="str">
            <v>21200</v>
          </cell>
          <cell r="B138" t="str">
            <v>RB-C-21200</v>
          </cell>
          <cell r="C138" t="str">
            <v/>
          </cell>
          <cell r="D138" t="str">
            <v>21200 Income tax liabilities</v>
          </cell>
          <cell r="E138">
            <v>0.39</v>
          </cell>
          <cell r="F138">
            <v>0.39</v>
          </cell>
        </row>
        <row r="139">
          <cell r="A139" t="str">
            <v>LC_IT</v>
          </cell>
          <cell r="B139" t="str">
            <v>RB-C-LC_IT</v>
          </cell>
          <cell r="C139" t="str">
            <v/>
          </cell>
          <cell r="D139" t="str">
            <v>Total LC_IT Total: Income tax liabilities &lt;1y</v>
          </cell>
          <cell r="E139">
            <v>0.39</v>
          </cell>
          <cell r="F139">
            <v>0.39</v>
          </cell>
        </row>
        <row r="140">
          <cell r="A140" t="str">
            <v>21005</v>
          </cell>
          <cell r="B140" t="str">
            <v>RB-C-21005</v>
          </cell>
          <cell r="C140" t="str">
            <v/>
          </cell>
          <cell r="D140" t="str">
            <v>21005 Ac.liab.: Bonuses, profit participation</v>
          </cell>
          <cell r="E140">
            <v>-5675268107</v>
          </cell>
          <cell r="F140">
            <v>-8903868088</v>
          </cell>
        </row>
        <row r="141">
          <cell r="A141" t="str">
            <v>21119</v>
          </cell>
          <cell r="B141" t="str">
            <v>RB-C-21119</v>
          </cell>
          <cell r="C141" t="str">
            <v/>
          </cell>
          <cell r="D141" t="str">
            <v>21119 Total: Accrued liab. personnel related</v>
          </cell>
          <cell r="E141">
            <v>-5675268107</v>
          </cell>
          <cell r="F141">
            <v>-9246387580</v>
          </cell>
        </row>
        <row r="142">
          <cell r="A142" t="str">
            <v>21144</v>
          </cell>
          <cell r="B142" t="str">
            <v>RB-C-21144</v>
          </cell>
          <cell r="C142" t="str">
            <v/>
          </cell>
          <cell r="D142" t="str">
            <v>21144 Ac.liab.: outstanding invoices</v>
          </cell>
          <cell r="E142">
            <v>-66790247</v>
          </cell>
          <cell r="F142">
            <v>-98754764.379999995</v>
          </cell>
        </row>
        <row r="143">
          <cell r="A143" t="str">
            <v>21179</v>
          </cell>
          <cell r="B143" t="str">
            <v>RB-C-21179</v>
          </cell>
          <cell r="C143" t="str">
            <v/>
          </cell>
          <cell r="D143" t="str">
            <v>21179 Total: Other accrued liabilities</v>
          </cell>
          <cell r="E143">
            <v>-66790247</v>
          </cell>
          <cell r="F143">
            <v>-98754764.379999995</v>
          </cell>
        </row>
        <row r="144">
          <cell r="A144" t="str">
            <v>21189</v>
          </cell>
          <cell r="B144" t="str">
            <v>RB-C-21189</v>
          </cell>
          <cell r="C144" t="str">
            <v/>
          </cell>
          <cell r="D144" t="str">
            <v>21189 Total: Accrued liabilities</v>
          </cell>
          <cell r="E144">
            <v>-5742058354</v>
          </cell>
          <cell r="F144">
            <v>-9345142344.3799992</v>
          </cell>
        </row>
        <row r="145">
          <cell r="A145" t="str">
            <v>2121A</v>
          </cell>
          <cell r="B145" t="str">
            <v>RB-C-2121A</v>
          </cell>
          <cell r="C145" t="str">
            <v/>
          </cell>
          <cell r="D145" t="str">
            <v/>
          </cell>
          <cell r="E145">
            <v>-813568872.80999994</v>
          </cell>
          <cell r="F145">
            <v>-758225249.22000003</v>
          </cell>
        </row>
        <row r="146">
          <cell r="A146" t="str">
            <v>212JP</v>
          </cell>
          <cell r="B146" t="str">
            <v>RB-C-212JP</v>
          </cell>
          <cell r="C146" t="str">
            <v/>
          </cell>
          <cell r="D146" t="str">
            <v/>
          </cell>
          <cell r="E146">
            <v>-29729837.379999999</v>
          </cell>
          <cell r="F146">
            <v>-27336497.43</v>
          </cell>
        </row>
        <row r="147">
          <cell r="A147" t="str">
            <v>21210</v>
          </cell>
          <cell r="B147" t="str">
            <v>RB-C-21210</v>
          </cell>
          <cell r="C147" t="str">
            <v/>
          </cell>
          <cell r="D147" t="str">
            <v>21210 Other tax liabilities</v>
          </cell>
          <cell r="E147">
            <v>-843298710.19000006</v>
          </cell>
          <cell r="F147">
            <v>-785561746.64999998</v>
          </cell>
        </row>
        <row r="148">
          <cell r="A148" t="str">
            <v>21310</v>
          </cell>
          <cell r="B148" t="str">
            <v>RB-C-21310</v>
          </cell>
          <cell r="C148" t="str">
            <v/>
          </cell>
          <cell r="D148" t="str">
            <v>21310 Oth.sundry liab. =&lt;1 y.-Th.p., B-c, B-f</v>
          </cell>
          <cell r="E148">
            <v>-49957922.009999998</v>
          </cell>
          <cell r="F148">
            <v>-39957942.600000001</v>
          </cell>
        </row>
        <row r="149">
          <cell r="A149" t="str">
            <v>21317</v>
          </cell>
          <cell r="B149" t="str">
            <v>RB-C-21317</v>
          </cell>
          <cell r="C149" t="str">
            <v/>
          </cell>
          <cell r="D149" t="str">
            <v>21317 Liabilities from social security</v>
          </cell>
          <cell r="E149">
            <v>-88077933.829999998</v>
          </cell>
          <cell r="F149">
            <v>-247684755.78</v>
          </cell>
        </row>
        <row r="150">
          <cell r="A150" t="str">
            <v>21320</v>
          </cell>
          <cell r="B150" t="str">
            <v>RB-C-21320</v>
          </cell>
          <cell r="C150" t="str">
            <v/>
          </cell>
          <cell r="D150" t="str">
            <v>21320 Other sundry liabilities =&lt; 1 year - K</v>
          </cell>
          <cell r="E150">
            <v>-18546832</v>
          </cell>
          <cell r="F150">
            <v>-18546832</v>
          </cell>
        </row>
        <row r="151">
          <cell r="A151" t="str">
            <v>21390</v>
          </cell>
          <cell r="B151" t="str">
            <v>RB-C-21390</v>
          </cell>
          <cell r="C151" t="str">
            <v/>
          </cell>
          <cell r="D151" t="str">
            <v>21390 Liabil. to board memb., employees =&lt;1 y</v>
          </cell>
          <cell r="E151">
            <v>-1402469458.28</v>
          </cell>
          <cell r="F151">
            <v>-1351324354.48</v>
          </cell>
        </row>
        <row r="152">
          <cell r="A152" t="str">
            <v>LC_OL</v>
          </cell>
          <cell r="B152" t="str">
            <v>RB-C-LC_OL</v>
          </cell>
          <cell r="C152" t="str">
            <v/>
          </cell>
          <cell r="D152" t="str">
            <v>Total LC_OL Total: Other liabilities &lt; 1 y</v>
          </cell>
          <cell r="E152">
            <v>-8144409210.3100004</v>
          </cell>
          <cell r="F152">
            <v>-11788217975.889999</v>
          </cell>
        </row>
        <row r="153">
          <cell r="A153" t="str">
            <v>23300</v>
          </cell>
          <cell r="B153" t="str">
            <v>RB-C-23300</v>
          </cell>
          <cell r="C153" t="str">
            <v/>
          </cell>
          <cell r="D153" t="str">
            <v>23300 Prov. for personnel adjustm. current</v>
          </cell>
          <cell r="E153">
            <v>-1305000000</v>
          </cell>
          <cell r="F153">
            <v>0</v>
          </cell>
        </row>
        <row r="154">
          <cell r="A154" t="str">
            <v>23305</v>
          </cell>
          <cell r="B154" t="str">
            <v>RB-C-23305</v>
          </cell>
          <cell r="C154" t="str">
            <v/>
          </cell>
          <cell r="D154" t="str">
            <v>23305 Prov. f. employee anniversaries current</v>
          </cell>
          <cell r="E154">
            <v>-226711652</v>
          </cell>
          <cell r="F154">
            <v>-222296331</v>
          </cell>
        </row>
        <row r="155">
          <cell r="A155" t="str">
            <v>23315</v>
          </cell>
          <cell r="B155" t="str">
            <v>RB-C-23315</v>
          </cell>
          <cell r="C155" t="str">
            <v/>
          </cell>
          <cell r="D155" t="str">
            <v>23315 Provisions for deferred hours current</v>
          </cell>
          <cell r="E155">
            <v>-868550566</v>
          </cell>
          <cell r="F155">
            <v>-868550566</v>
          </cell>
        </row>
        <row r="156">
          <cell r="A156" t="str">
            <v>23319</v>
          </cell>
          <cell r="B156" t="str">
            <v>RB-C-23319</v>
          </cell>
          <cell r="C156" t="str">
            <v/>
          </cell>
          <cell r="D156" t="str">
            <v>23319 Personnel related provisions &lt; 1 y</v>
          </cell>
          <cell r="E156">
            <v>-2400262218</v>
          </cell>
          <cell r="F156">
            <v>-4748656897</v>
          </cell>
        </row>
        <row r="157">
          <cell r="A157" t="str">
            <v>23321</v>
          </cell>
          <cell r="B157" t="str">
            <v>RB-C-23321</v>
          </cell>
          <cell r="C157" t="str">
            <v/>
          </cell>
          <cell r="D157" t="str">
            <v>23321 Prov. for warr. comm. - general current</v>
          </cell>
          <cell r="E157">
            <v>-49228809.039999999</v>
          </cell>
          <cell r="F157">
            <v>-53750617.939999998</v>
          </cell>
        </row>
        <row r="158">
          <cell r="A158" t="str">
            <v>23339</v>
          </cell>
          <cell r="B158" t="str">
            <v>RB-C-23339</v>
          </cell>
          <cell r="C158" t="str">
            <v/>
          </cell>
          <cell r="D158" t="str">
            <v>23339 Sales related provisions &lt; 1 y</v>
          </cell>
          <cell r="E158">
            <v>-49228809.039999999</v>
          </cell>
          <cell r="F158">
            <v>-53750617.939999998</v>
          </cell>
        </row>
        <row r="159">
          <cell r="A159" t="str">
            <v>23368</v>
          </cell>
          <cell r="B159" t="str">
            <v>RB-C-23368</v>
          </cell>
          <cell r="C159" t="str">
            <v/>
          </cell>
          <cell r="D159" t="str">
            <v>23368 Prov. for tax penalties</v>
          </cell>
          <cell r="E159">
            <v>-1774763788</v>
          </cell>
          <cell r="F159">
            <v>-1781933553</v>
          </cell>
        </row>
        <row r="160">
          <cell r="A160" t="str">
            <v>23369</v>
          </cell>
          <cell r="B160" t="str">
            <v>RB-C-23369</v>
          </cell>
          <cell r="C160" t="str">
            <v/>
          </cell>
          <cell r="D160" t="str">
            <v>23369 Sundry other provisions &lt; 1 y</v>
          </cell>
          <cell r="E160">
            <v>-1774763788</v>
          </cell>
          <cell r="F160">
            <v>-1781933553</v>
          </cell>
        </row>
        <row r="161">
          <cell r="A161" t="str">
            <v>LC_PR</v>
          </cell>
          <cell r="B161" t="str">
            <v>RB-C-LC_PR</v>
          </cell>
          <cell r="C161" t="str">
            <v/>
          </cell>
          <cell r="D161" t="str">
            <v>Total LC_PR Total: Current provisions</v>
          </cell>
          <cell r="E161">
            <v>-4224254815.04</v>
          </cell>
          <cell r="F161">
            <v>-6584341067.9399996</v>
          </cell>
        </row>
        <row r="162">
          <cell r="A162" t="str">
            <v>LC_TO</v>
          </cell>
          <cell r="B162" t="str">
            <v>RB-C-LC_TO</v>
          </cell>
          <cell r="C162" t="str">
            <v/>
          </cell>
          <cell r="D162" t="str">
            <v>Total LC_TO Total: Current liabilities</v>
          </cell>
          <cell r="E162">
            <v>-27857044416.09</v>
          </cell>
          <cell r="F162">
            <v>-35635505061.650002</v>
          </cell>
        </row>
        <row r="163">
          <cell r="A163" t="str">
            <v>24500</v>
          </cell>
          <cell r="B163" t="str">
            <v>RB-C-24500</v>
          </cell>
          <cell r="C163" t="str">
            <v/>
          </cell>
          <cell r="D163" t="str">
            <v>24500 Lease liabilities (lessee) &gt; 1 y</v>
          </cell>
          <cell r="E163">
            <v>-7404677250.54</v>
          </cell>
          <cell r="F163">
            <v>-7703310272.9899998</v>
          </cell>
        </row>
        <row r="164">
          <cell r="A164" t="str">
            <v>LN_LL</v>
          </cell>
          <cell r="B164" t="str">
            <v>RB-C-LN_LL</v>
          </cell>
          <cell r="C164" t="str">
            <v/>
          </cell>
          <cell r="D164" t="str">
            <v>Total LN_LL Total: Lease liab.(lessee)&gt;1y</v>
          </cell>
          <cell r="E164">
            <v>-7404677250.54</v>
          </cell>
          <cell r="F164">
            <v>-7703310272.9899998</v>
          </cell>
        </row>
        <row r="165">
          <cell r="A165" t="str">
            <v>25000</v>
          </cell>
          <cell r="B165" t="str">
            <v>RB-C-25000</v>
          </cell>
          <cell r="C165" t="str">
            <v/>
          </cell>
          <cell r="D165" t="str">
            <v>25000 CL: Sales over time &gt; 1 y - 3rd, N, B-a</v>
          </cell>
          <cell r="E165">
            <v>-461625454</v>
          </cell>
          <cell r="F165">
            <v>0</v>
          </cell>
        </row>
        <row r="166">
          <cell r="A166" t="str">
            <v>LN_CL</v>
          </cell>
          <cell r="B166" t="str">
            <v>RB-C-LN_CL</v>
          </cell>
          <cell r="C166" t="str">
            <v/>
          </cell>
          <cell r="D166" t="str">
            <v>Total LN_CL Total: Contract liabilities &gt; 1 y</v>
          </cell>
          <cell r="E166">
            <v>-461625454</v>
          </cell>
          <cell r="F166">
            <v>0</v>
          </cell>
        </row>
        <row r="167">
          <cell r="A167" t="str">
            <v>24380</v>
          </cell>
          <cell r="B167" t="str">
            <v>RB-C-24380</v>
          </cell>
          <cell r="C167" t="str">
            <v/>
          </cell>
          <cell r="D167" t="str">
            <v>24380 Liabil. to board memb.,employees &gt; 1 y.</v>
          </cell>
          <cell r="E167">
            <v>-227561100</v>
          </cell>
          <cell r="F167">
            <v>-227688916.59</v>
          </cell>
        </row>
        <row r="168">
          <cell r="A168" t="str">
            <v>LN_OL</v>
          </cell>
          <cell r="B168" t="str">
            <v>RB-C-LN_OL</v>
          </cell>
          <cell r="C168" t="str">
            <v/>
          </cell>
          <cell r="D168" t="str">
            <v>Total LN_OL Total: Other Liabilities &gt; 1 y</v>
          </cell>
          <cell r="E168">
            <v>-227561100</v>
          </cell>
          <cell r="F168">
            <v>-227688916.59</v>
          </cell>
        </row>
        <row r="169">
          <cell r="A169" t="str">
            <v>24060</v>
          </cell>
          <cell r="B169" t="str">
            <v>RB-C-24060</v>
          </cell>
          <cell r="C169" t="str">
            <v/>
          </cell>
          <cell r="D169" t="str">
            <v>24060 Provisions for pensions, similar oblig.</v>
          </cell>
          <cell r="E169">
            <v>1659765346.8199999</v>
          </cell>
          <cell r="F169">
            <v>0.82</v>
          </cell>
        </row>
        <row r="170">
          <cell r="A170" t="str">
            <v>LN_PP</v>
          </cell>
          <cell r="B170" t="str">
            <v>RB-C-LN_PP</v>
          </cell>
          <cell r="C170" t="str">
            <v/>
          </cell>
          <cell r="D170" t="str">
            <v>Total LN_PP Total: Provisions for pensions</v>
          </cell>
          <cell r="E170">
            <v>1659765346.8199999</v>
          </cell>
          <cell r="F170">
            <v>0.82</v>
          </cell>
        </row>
        <row r="171">
          <cell r="A171" t="str">
            <v>27050</v>
          </cell>
          <cell r="B171" t="str">
            <v>RB-C-27050</v>
          </cell>
          <cell r="C171" t="str">
            <v/>
          </cell>
          <cell r="D171" t="str">
            <v>27050 Income tax provisions &gt; 1 y</v>
          </cell>
          <cell r="E171">
            <v>0.6</v>
          </cell>
          <cell r="F171">
            <v>0.44</v>
          </cell>
        </row>
        <row r="172">
          <cell r="A172" t="str">
            <v>LN_TP</v>
          </cell>
          <cell r="B172" t="str">
            <v>RB-C-LN_TP</v>
          </cell>
          <cell r="C172" t="str">
            <v/>
          </cell>
          <cell r="D172" t="str">
            <v>Total LN_TP Total: Income tax provisions &gt; 1y</v>
          </cell>
          <cell r="E172">
            <v>0.6</v>
          </cell>
          <cell r="F172">
            <v>0.44</v>
          </cell>
        </row>
        <row r="173">
          <cell r="A173" t="str">
            <v>27105</v>
          </cell>
          <cell r="B173" t="str">
            <v>RB-C-27105</v>
          </cell>
          <cell r="C173" t="str">
            <v/>
          </cell>
          <cell r="D173" t="str">
            <v>27105 Prov. f. employ.anniversaries non curr.</v>
          </cell>
          <cell r="E173">
            <v>-2029589483</v>
          </cell>
          <cell r="F173">
            <v>-1990062633</v>
          </cell>
        </row>
        <row r="174">
          <cell r="A174" t="str">
            <v>27115</v>
          </cell>
          <cell r="B174" t="str">
            <v>RB-C-27115</v>
          </cell>
          <cell r="C174" t="str">
            <v/>
          </cell>
          <cell r="D174" t="str">
            <v>27115 Provisions for deferred hours non curr.</v>
          </cell>
          <cell r="E174">
            <v>-4137278281.3499999</v>
          </cell>
          <cell r="F174">
            <v>-4137278281.3499999</v>
          </cell>
        </row>
        <row r="175">
          <cell r="A175" t="str">
            <v>27118</v>
          </cell>
          <cell r="B175" t="str">
            <v>RB-C-27118</v>
          </cell>
          <cell r="C175" t="str">
            <v/>
          </cell>
          <cell r="D175" t="str">
            <v>27118 Other personnel related prov. non curr.</v>
          </cell>
          <cell r="E175">
            <v>-492500000</v>
          </cell>
          <cell r="F175">
            <v>0</v>
          </cell>
        </row>
        <row r="176">
          <cell r="A176" t="str">
            <v>27119</v>
          </cell>
          <cell r="B176" t="str">
            <v>RB-C-27119</v>
          </cell>
          <cell r="C176" t="str">
            <v/>
          </cell>
          <cell r="D176" t="str">
            <v>27119 Personnel related provisions &gt; 1 y</v>
          </cell>
          <cell r="E176">
            <v>-6659367764.3500004</v>
          </cell>
          <cell r="F176">
            <v>-6127340914.3500004</v>
          </cell>
        </row>
        <row r="177">
          <cell r="A177" t="str">
            <v>LN_PR</v>
          </cell>
          <cell r="B177" t="str">
            <v>RB-C-LN_PR</v>
          </cell>
          <cell r="C177" t="str">
            <v/>
          </cell>
          <cell r="D177" t="str">
            <v>Total LN_PR Total: Non-current provisions</v>
          </cell>
          <cell r="E177">
            <v>-6659367764.3500004</v>
          </cell>
          <cell r="F177">
            <v>-6127340914.3500004</v>
          </cell>
        </row>
        <row r="178">
          <cell r="A178" t="str">
            <v>LN_TO</v>
          </cell>
          <cell r="B178" t="str">
            <v>RB-C-LN_TO</v>
          </cell>
          <cell r="C178" t="str">
            <v/>
          </cell>
          <cell r="D178" t="str">
            <v>Total LN_TO Total: Non-current liabilities</v>
          </cell>
          <cell r="E178">
            <v>-13093466221.469999</v>
          </cell>
          <cell r="F178">
            <v>-14058340102.67</v>
          </cell>
        </row>
        <row r="179">
          <cell r="A179" t="str">
            <v>29000</v>
          </cell>
          <cell r="B179" t="str">
            <v>RB-C-29000</v>
          </cell>
          <cell r="C179" t="str">
            <v/>
          </cell>
          <cell r="D179" t="str">
            <v>29000 Subscribed capital</v>
          </cell>
          <cell r="E179">
            <v>-41597800</v>
          </cell>
          <cell r="F179">
            <v>-41597800</v>
          </cell>
        </row>
        <row r="180">
          <cell r="A180" t="str">
            <v>29305</v>
          </cell>
          <cell r="B180" t="str">
            <v>RB-C-29305</v>
          </cell>
          <cell r="C180" t="str">
            <v/>
          </cell>
          <cell r="D180" t="str">
            <v>29305 Statutory reserves</v>
          </cell>
          <cell r="E180">
            <v>-12388718192.41</v>
          </cell>
          <cell r="F180">
            <v>-12388718192.41</v>
          </cell>
        </row>
        <row r="181">
          <cell r="A181" t="str">
            <v>29330</v>
          </cell>
          <cell r="B181" t="str">
            <v>RB-C-29330</v>
          </cell>
          <cell r="C181" t="str">
            <v/>
          </cell>
          <cell r="D181" t="str">
            <v>29330 OCI: Actuarial gains/losses-gross</v>
          </cell>
          <cell r="E181">
            <v>-777957109.69000006</v>
          </cell>
          <cell r="F181">
            <v>-777957109.69000006</v>
          </cell>
        </row>
        <row r="182">
          <cell r="A182" t="str">
            <v>29331</v>
          </cell>
          <cell r="B182" t="str">
            <v>RB-C-29331</v>
          </cell>
          <cell r="C182" t="str">
            <v/>
          </cell>
          <cell r="D182" t="str">
            <v>29331 OCI: Actuarial gains/losses-def. taxes</v>
          </cell>
          <cell r="E182">
            <v>195796125.81999999</v>
          </cell>
          <cell r="F182">
            <v>195796125.81999999</v>
          </cell>
        </row>
        <row r="183">
          <cell r="A183" t="str">
            <v>29332</v>
          </cell>
          <cell r="B183" t="str">
            <v>RB-C-29332</v>
          </cell>
          <cell r="C183" t="str">
            <v/>
          </cell>
          <cell r="D183" t="str">
            <v>29332 OCI: Actuarial gains/losses-net</v>
          </cell>
          <cell r="E183">
            <v>-582160983.87</v>
          </cell>
          <cell r="F183">
            <v>-582160983.87</v>
          </cell>
        </row>
        <row r="184">
          <cell r="A184" t="str">
            <v>2935A</v>
          </cell>
          <cell r="B184" t="str">
            <v>RB-C-2935A</v>
          </cell>
          <cell r="C184" t="str">
            <v/>
          </cell>
          <cell r="D184" t="str">
            <v/>
          </cell>
          <cell r="E184">
            <v>-40473284717.059998</v>
          </cell>
          <cell r="F184">
            <v>-22257674948.66</v>
          </cell>
        </row>
        <row r="185">
          <cell r="A185" t="str">
            <v>4</v>
          </cell>
          <cell r="B185" t="str">
            <v>4</v>
          </cell>
          <cell r="C185" t="str">
            <v/>
          </cell>
          <cell r="D185" t="str">
            <v>Net result: profit</v>
          </cell>
          <cell r="E185">
            <v>-4386830458.6400003</v>
          </cell>
          <cell r="F185">
            <v>-18215609768.77</v>
          </cell>
        </row>
        <row r="186">
          <cell r="A186" t="str">
            <v>2935B</v>
          </cell>
          <cell r="B186" t="str">
            <v>RB-C-2935B</v>
          </cell>
          <cell r="C186" t="str">
            <v/>
          </cell>
          <cell r="D186" t="str">
            <v/>
          </cell>
          <cell r="E186">
            <v>-4386830458.6400003</v>
          </cell>
          <cell r="F186">
            <v>-18215609768.77</v>
          </cell>
        </row>
        <row r="187">
          <cell r="A187" t="str">
            <v>29350</v>
          </cell>
          <cell r="B187" t="str">
            <v>RB-C-29350</v>
          </cell>
          <cell r="C187" t="str">
            <v/>
          </cell>
          <cell r="D187" t="str">
            <v>29350 Other revenue reserves</v>
          </cell>
          <cell r="E187">
            <v>-44860115175.699997</v>
          </cell>
          <cell r="F187">
            <v>-40473284717.43</v>
          </cell>
        </row>
        <row r="188">
          <cell r="A188" t="str">
            <v>29355</v>
          </cell>
          <cell r="B188" t="str">
            <v>RB-C-29355</v>
          </cell>
          <cell r="C188" t="str">
            <v/>
          </cell>
          <cell r="D188" t="str">
            <v>Total 29355 Oth.rev.K-int.Transf</v>
          </cell>
          <cell r="E188">
            <v>-122587600</v>
          </cell>
          <cell r="F188">
            <v>-122587600</v>
          </cell>
        </row>
        <row r="189">
          <cell r="A189" t="str">
            <v>29399</v>
          </cell>
          <cell r="B189" t="str">
            <v>RB-C-29399</v>
          </cell>
          <cell r="C189" t="str">
            <v/>
          </cell>
          <cell r="D189" t="str">
            <v>29399 Total: Earned surplus reserves</v>
          </cell>
          <cell r="E189">
            <v>-57953581951.980003</v>
          </cell>
          <cell r="F189">
            <v>-53566751493.709999</v>
          </cell>
        </row>
        <row r="190">
          <cell r="A190" t="str">
            <v>L_EQT</v>
          </cell>
          <cell r="B190" t="str">
            <v>RB-C-L_EQT</v>
          </cell>
          <cell r="C190" t="str">
            <v/>
          </cell>
          <cell r="D190" t="str">
            <v>Total L_EQT Total: Equity</v>
          </cell>
          <cell r="E190">
            <v>-57995179751.980003</v>
          </cell>
          <cell r="F190">
            <v>-53608349293.709999</v>
          </cell>
        </row>
        <row r="191">
          <cell r="A191" t="str">
            <v>L_TOT</v>
          </cell>
          <cell r="B191" t="str">
            <v>RB-C-L_TOT</v>
          </cell>
          <cell r="C191" t="str">
            <v/>
          </cell>
          <cell r="D191" t="str">
            <v>Total L_TOT Total: Liabilities and equity</v>
          </cell>
          <cell r="E191">
            <v>-98945690389.539993</v>
          </cell>
          <cell r="F191">
            <v>-103302194458.03</v>
          </cell>
        </row>
        <row r="192">
          <cell r="A192" t="str">
            <v>400</v>
          </cell>
          <cell r="B192" t="str">
            <v>400</v>
          </cell>
          <cell r="C192" t="str">
            <v/>
          </cell>
          <cell r="D192" t="str">
            <v>Total Remuneration</v>
          </cell>
          <cell r="E192">
            <v>11147608822.24</v>
          </cell>
          <cell r="F192">
            <v>48108718138.440002</v>
          </cell>
        </row>
        <row r="193">
          <cell r="A193" t="str">
            <v>402</v>
          </cell>
          <cell r="B193" t="str">
            <v>402</v>
          </cell>
          <cell r="C193" t="str">
            <v/>
          </cell>
          <cell r="D193" t="str">
            <v>Total Remuneration for paid leave</v>
          </cell>
          <cell r="E193">
            <v>363805167.38</v>
          </cell>
          <cell r="F193">
            <v>524005358.76999998</v>
          </cell>
        </row>
        <row r="194">
          <cell r="A194" t="str">
            <v>403</v>
          </cell>
          <cell r="B194" t="str">
            <v>403</v>
          </cell>
          <cell r="C194" t="str">
            <v/>
          </cell>
          <cell r="D194" t="str">
            <v>Total Compens. overtime &amp; extra pay for shift</v>
          </cell>
          <cell r="E194">
            <v>6424950</v>
          </cell>
          <cell r="F194">
            <v>28436675</v>
          </cell>
        </row>
        <row r="195">
          <cell r="A195" t="str">
            <v>404</v>
          </cell>
          <cell r="B195" t="str">
            <v>404</v>
          </cell>
          <cell r="C195" t="str">
            <v/>
          </cell>
          <cell r="D195" t="str">
            <v>Total Bonuses</v>
          </cell>
          <cell r="E195">
            <v>2406612279.8499999</v>
          </cell>
          <cell r="F195">
            <v>3366116663.8200002</v>
          </cell>
        </row>
        <row r="196">
          <cell r="A196" t="str">
            <v>4062</v>
          </cell>
          <cell r="B196" t="str">
            <v>4062</v>
          </cell>
          <cell r="C196" t="str">
            <v/>
          </cell>
          <cell r="D196" t="str">
            <v/>
          </cell>
          <cell r="E196">
            <v>1006116729.51</v>
          </cell>
          <cell r="F196">
            <v>4180751023.0900002</v>
          </cell>
        </row>
        <row r="197">
          <cell r="A197" t="str">
            <v>94011</v>
          </cell>
          <cell r="B197" t="str">
            <v>RB-C-94011</v>
          </cell>
          <cell r="C197" t="str">
            <v/>
          </cell>
          <cell r="D197" t="str">
            <v>94011 Personnel expenses - remuneration</v>
          </cell>
          <cell r="E197">
            <v>14930567948.98</v>
          </cell>
          <cell r="F197">
            <v>56208027859.120003</v>
          </cell>
        </row>
        <row r="198">
          <cell r="A198" t="str">
            <v>4060</v>
          </cell>
          <cell r="B198" t="str">
            <v>4060</v>
          </cell>
          <cell r="C198" t="str">
            <v/>
          </cell>
          <cell r="D198" t="str">
            <v/>
          </cell>
          <cell r="E198">
            <v>109208090</v>
          </cell>
          <cell r="F198">
            <v>414941909</v>
          </cell>
        </row>
        <row r="199">
          <cell r="A199" t="str">
            <v>94012</v>
          </cell>
          <cell r="B199" t="str">
            <v>RB-C-94012</v>
          </cell>
          <cell r="C199" t="str">
            <v/>
          </cell>
          <cell r="D199" t="str">
            <v>94012 Personnel expenses - social security</v>
          </cell>
          <cell r="E199">
            <v>109208090</v>
          </cell>
          <cell r="F199">
            <v>414941909</v>
          </cell>
        </row>
        <row r="200">
          <cell r="A200" t="str">
            <v>4050</v>
          </cell>
          <cell r="B200" t="str">
            <v>4050</v>
          </cell>
          <cell r="C200" t="str">
            <v/>
          </cell>
          <cell r="D200" t="str">
            <v/>
          </cell>
          <cell r="E200">
            <v>-1167265346</v>
          </cell>
          <cell r="F200">
            <v>1582107354.9300001</v>
          </cell>
        </row>
        <row r="201">
          <cell r="A201" t="str">
            <v>94013</v>
          </cell>
          <cell r="B201" t="str">
            <v>RB-C-94013</v>
          </cell>
          <cell r="C201" t="str">
            <v/>
          </cell>
          <cell r="D201" t="str">
            <v>94013 Personnel expenses - pension costs</v>
          </cell>
          <cell r="E201">
            <v>-1167265346</v>
          </cell>
          <cell r="F201">
            <v>1582107354.9300001</v>
          </cell>
        </row>
        <row r="202">
          <cell r="A202" t="str">
            <v>94014</v>
          </cell>
          <cell r="B202" t="str">
            <v>RB-C-94014</v>
          </cell>
          <cell r="C202" t="str">
            <v/>
          </cell>
          <cell r="D202" t="str">
            <v>94014 Personnel exp. - other support paym.</v>
          </cell>
          <cell r="E202">
            <v>156489.73000000001</v>
          </cell>
          <cell r="F202">
            <v>104875143.19</v>
          </cell>
        </row>
        <row r="203">
          <cell r="A203" t="str">
            <v>94019</v>
          </cell>
          <cell r="B203" t="str">
            <v>RB-C-94019</v>
          </cell>
          <cell r="C203" t="str">
            <v/>
          </cell>
          <cell r="D203" t="str">
            <v>94019 Total: Personnel expenses</v>
          </cell>
          <cell r="E203">
            <v>13872667182.709999</v>
          </cell>
          <cell r="F203">
            <v>58309952266.239998</v>
          </cell>
        </row>
        <row r="204">
          <cell r="A204" t="str">
            <v>07700</v>
          </cell>
          <cell r="B204" t="str">
            <v>P707700</v>
          </cell>
          <cell r="C204" t="str">
            <v/>
          </cell>
          <cell r="D204" t="str">
            <v/>
          </cell>
          <cell r="E204">
            <v>13872667182.709999</v>
          </cell>
          <cell r="F204">
            <v>58309952266.239998</v>
          </cell>
        </row>
        <row r="205">
          <cell r="A205" t="str">
            <v>394</v>
          </cell>
          <cell r="B205" t="str">
            <v>394</v>
          </cell>
          <cell r="C205" t="str">
            <v/>
          </cell>
          <cell r="D205" t="str">
            <v>Total Intra-company delivery of goods</v>
          </cell>
          <cell r="E205">
            <v>-1156368295.46</v>
          </cell>
          <cell r="F205">
            <v>-1414555925.1700001</v>
          </cell>
        </row>
        <row r="206">
          <cell r="A206" t="str">
            <v>395</v>
          </cell>
          <cell r="B206" t="str">
            <v>395</v>
          </cell>
          <cell r="C206" t="str">
            <v/>
          </cell>
          <cell r="D206" t="str">
            <v>Total Manufacturing costs of Intra-company de</v>
          </cell>
          <cell r="E206">
            <v>1155023161.5799999</v>
          </cell>
          <cell r="F206">
            <v>1412741435.4100001</v>
          </cell>
        </row>
        <row r="207">
          <cell r="A207" t="str">
            <v>394FF</v>
          </cell>
          <cell r="B207" t="str">
            <v>394FF</v>
          </cell>
          <cell r="C207" t="str">
            <v/>
          </cell>
          <cell r="D207" t="str">
            <v>Total Intra-company delivery / costs</v>
          </cell>
          <cell r="E207">
            <v>-1345133.88</v>
          </cell>
          <cell r="F207">
            <v>-1814489.76</v>
          </cell>
        </row>
        <row r="208">
          <cell r="A208" t="str">
            <v>420</v>
          </cell>
          <cell r="B208" t="str">
            <v>420</v>
          </cell>
          <cell r="C208" t="str">
            <v/>
          </cell>
          <cell r="D208" t="str">
            <v>Total Material cost &amp; purch.services for prod</v>
          </cell>
          <cell r="E208">
            <v>115270780.45</v>
          </cell>
          <cell r="F208">
            <v>48043447.270000003</v>
          </cell>
        </row>
        <row r="209">
          <cell r="A209" t="str">
            <v>423</v>
          </cell>
          <cell r="B209" t="str">
            <v>423</v>
          </cell>
          <cell r="C209" t="str">
            <v/>
          </cell>
          <cell r="D209" t="str">
            <v>Total Merchandise incl. cash discounts and bo</v>
          </cell>
          <cell r="E209">
            <v>228937411.02000001</v>
          </cell>
          <cell r="F209">
            <v>1684851820.0999999</v>
          </cell>
        </row>
        <row r="210">
          <cell r="A210" t="str">
            <v>424</v>
          </cell>
          <cell r="B210" t="str">
            <v>424</v>
          </cell>
          <cell r="C210" t="str">
            <v/>
          </cell>
          <cell r="D210" t="str">
            <v>Total Procurement of energy, fuels</v>
          </cell>
          <cell r="E210">
            <v>113111947.86</v>
          </cell>
          <cell r="F210">
            <v>606432989.63</v>
          </cell>
        </row>
        <row r="211">
          <cell r="A211" t="str">
            <v>426</v>
          </cell>
          <cell r="B211" t="str">
            <v>426</v>
          </cell>
          <cell r="C211" t="str">
            <v/>
          </cell>
          <cell r="D211" t="str">
            <v>Total Costs dependent on purchase for goods r</v>
          </cell>
          <cell r="E211">
            <v>22277289.5</v>
          </cell>
          <cell r="F211">
            <v>124256393.19</v>
          </cell>
        </row>
        <row r="212">
          <cell r="A212" t="str">
            <v>427</v>
          </cell>
          <cell r="B212" t="str">
            <v>427</v>
          </cell>
          <cell r="C212" t="str">
            <v/>
          </cell>
          <cell r="D212" t="str">
            <v>Total Mat.costs &amp; purch.services / hired labo</v>
          </cell>
          <cell r="E212">
            <v>1425249556.76</v>
          </cell>
          <cell r="F212">
            <v>5307167595.29</v>
          </cell>
        </row>
        <row r="213">
          <cell r="A213" t="str">
            <v>428</v>
          </cell>
          <cell r="B213" t="str">
            <v>428</v>
          </cell>
          <cell r="C213" t="str">
            <v/>
          </cell>
          <cell r="D213" t="str">
            <v>Total Tool costs</v>
          </cell>
          <cell r="E213">
            <v>8296</v>
          </cell>
          <cell r="F213">
            <v>94874.49</v>
          </cell>
        </row>
        <row r="214">
          <cell r="A214" t="str">
            <v>4407</v>
          </cell>
          <cell r="B214" t="str">
            <v>4407</v>
          </cell>
          <cell r="C214" t="str">
            <v/>
          </cell>
          <cell r="D214" t="str">
            <v/>
          </cell>
          <cell r="E214">
            <v>17655680.539999999</v>
          </cell>
          <cell r="F214">
            <v>47348551.200000003</v>
          </cell>
        </row>
        <row r="215">
          <cell r="A215" t="str">
            <v>4713</v>
          </cell>
          <cell r="B215" t="str">
            <v>4713</v>
          </cell>
          <cell r="C215" t="str">
            <v/>
          </cell>
          <cell r="D215" t="str">
            <v/>
          </cell>
          <cell r="E215">
            <v>68940700.609999999</v>
          </cell>
          <cell r="F215">
            <v>5801384.0999999996</v>
          </cell>
        </row>
        <row r="216">
          <cell r="A216" t="str">
            <v>4722</v>
          </cell>
          <cell r="B216" t="str">
            <v>4722</v>
          </cell>
          <cell r="C216" t="str">
            <v/>
          </cell>
          <cell r="D216" t="str">
            <v/>
          </cell>
          <cell r="E216">
            <v>-913724.2</v>
          </cell>
          <cell r="F216">
            <v>-10381145.869999999</v>
          </cell>
        </row>
        <row r="217">
          <cell r="A217" t="str">
            <v>4922</v>
          </cell>
          <cell r="B217" t="str">
            <v>4922</v>
          </cell>
          <cell r="C217" t="str">
            <v/>
          </cell>
          <cell r="D217" t="str">
            <v/>
          </cell>
          <cell r="E217">
            <v>-312959857.63999999</v>
          </cell>
          <cell r="F217">
            <v>-2610259658.9699998</v>
          </cell>
        </row>
        <row r="218">
          <cell r="A218" t="str">
            <v>94100</v>
          </cell>
          <cell r="B218" t="str">
            <v>RB-C-94100</v>
          </cell>
          <cell r="C218" t="str">
            <v/>
          </cell>
          <cell r="D218" t="str">
            <v>94100 Total costs of materials</v>
          </cell>
          <cell r="E218">
            <v>1676232947.02</v>
          </cell>
          <cell r="F218">
            <v>5201541760.6700001</v>
          </cell>
        </row>
        <row r="219">
          <cell r="A219" t="str">
            <v>94300</v>
          </cell>
          <cell r="B219" t="str">
            <v>RB-C-94300</v>
          </cell>
          <cell r="C219" t="str">
            <v/>
          </cell>
          <cell r="D219" t="str">
            <v>94300 Total Donations, tax deductible</v>
          </cell>
          <cell r="E219">
            <v>98007809.219999999</v>
          </cell>
          <cell r="F219">
            <v>338780647</v>
          </cell>
        </row>
        <row r="220">
          <cell r="A220" t="str">
            <v>511FF</v>
          </cell>
          <cell r="B220" t="str">
            <v>14511FF</v>
          </cell>
          <cell r="C220" t="str">
            <v/>
          </cell>
          <cell r="D220" t="str">
            <v/>
          </cell>
          <cell r="E220">
            <v>76785.42</v>
          </cell>
          <cell r="F220">
            <v>21129194.359999999</v>
          </cell>
        </row>
        <row r="221">
          <cell r="A221" t="str">
            <v>512FF</v>
          </cell>
          <cell r="B221" t="str">
            <v>14512FF</v>
          </cell>
          <cell r="C221" t="str">
            <v/>
          </cell>
          <cell r="D221" t="str">
            <v/>
          </cell>
          <cell r="E221">
            <v>1417029.69</v>
          </cell>
          <cell r="F221">
            <v>8004603.5499999998</v>
          </cell>
        </row>
        <row r="222">
          <cell r="A222" t="str">
            <v>94404</v>
          </cell>
          <cell r="B222" t="str">
            <v>RB-C-94404</v>
          </cell>
          <cell r="C222" t="str">
            <v/>
          </cell>
          <cell r="D222" t="str">
            <v/>
          </cell>
          <cell r="E222">
            <v>1493815.11</v>
          </cell>
          <cell r="F222">
            <v>29133797.91</v>
          </cell>
        </row>
        <row r="223">
          <cell r="A223" t="str">
            <v>N.IS</v>
          </cell>
          <cell r="B223" t="str">
            <v>N.IS</v>
          </cell>
          <cell r="C223" t="str">
            <v/>
          </cell>
          <cell r="D223" t="str">
            <v>N.IS Notes related to the Income Statement</v>
          </cell>
          <cell r="E223">
            <v>15648401754.059999</v>
          </cell>
          <cell r="F223">
            <v>63879434634.779999</v>
          </cell>
        </row>
        <row r="224">
          <cell r="A224" t="str">
            <v>99110</v>
          </cell>
          <cell r="B224" t="str">
            <v>P2_99110</v>
          </cell>
          <cell r="C224" t="str">
            <v/>
          </cell>
          <cell r="D224" t="str">
            <v>Total P2_99110 Own work cap.on tang.fixed ass</v>
          </cell>
          <cell r="E224">
            <v>-570069</v>
          </cell>
          <cell r="F224">
            <v>-4553047.16</v>
          </cell>
        </row>
        <row r="225">
          <cell r="A225" t="str">
            <v>99210</v>
          </cell>
          <cell r="B225" t="str">
            <v>P2_99210</v>
          </cell>
          <cell r="C225" t="str">
            <v/>
          </cell>
          <cell r="D225" t="str">
            <v>Total P2_99210 Expenses for temporary workers</v>
          </cell>
          <cell r="E225">
            <v>79221258.620000005</v>
          </cell>
          <cell r="F225">
            <v>234680490.94</v>
          </cell>
        </row>
        <row r="226">
          <cell r="A226" t="str">
            <v>N.T9</v>
          </cell>
          <cell r="B226" t="str">
            <v>N.T9</v>
          </cell>
          <cell r="C226" t="str">
            <v/>
          </cell>
          <cell r="D226" t="str">
            <v/>
          </cell>
          <cell r="E226">
            <v>78651189.620000005</v>
          </cell>
          <cell r="F226">
            <v>230127443.78</v>
          </cell>
        </row>
        <row r="227">
          <cell r="A227" t="str">
            <v>E UFE</v>
          </cell>
          <cell r="B227" t="str">
            <v>CHANGE UFE</v>
          </cell>
          <cell r="C227" t="str">
            <v/>
          </cell>
          <cell r="D227" t="str">
            <v>Total Change unfinished goods</v>
          </cell>
          <cell r="E227">
            <v>-34502794.399999999</v>
          </cell>
          <cell r="F227">
            <v>-54404675.450000003</v>
          </cell>
        </row>
        <row r="228">
          <cell r="A228" t="str">
            <v>E UFE</v>
          </cell>
          <cell r="B228" t="str">
            <v>CHG FE UFE</v>
          </cell>
          <cell r="C228" t="str">
            <v/>
          </cell>
          <cell r="D228" t="str">
            <v>Total Finished and unfinished goods</v>
          </cell>
          <cell r="E228">
            <v>-34502794.399999999</v>
          </cell>
          <cell r="F228">
            <v>-54404675.450000003</v>
          </cell>
        </row>
        <row r="229">
          <cell r="A229" t="str">
            <v>300</v>
          </cell>
          <cell r="B229" t="str">
            <v>300</v>
          </cell>
          <cell r="C229" t="str">
            <v/>
          </cell>
          <cell r="D229" t="str">
            <v>Total Sales from deliveries of goods and merc</v>
          </cell>
          <cell r="E229">
            <v>-141809305.15000001</v>
          </cell>
          <cell r="F229">
            <v>-2529117028.6900001</v>
          </cell>
        </row>
        <row r="230">
          <cell r="A230" t="str">
            <v>30</v>
          </cell>
          <cell r="B230" t="str">
            <v>30</v>
          </cell>
          <cell r="C230" t="str">
            <v/>
          </cell>
          <cell r="D230" t="str">
            <v>Total Sales from deliveries of goods and merc</v>
          </cell>
          <cell r="E230">
            <v>-141809305.15000001</v>
          </cell>
          <cell r="F230">
            <v>-2529117028.6900001</v>
          </cell>
        </row>
        <row r="231">
          <cell r="A231" t="str">
            <v>310</v>
          </cell>
          <cell r="B231" t="str">
            <v>310</v>
          </cell>
          <cell r="C231" t="str">
            <v/>
          </cell>
          <cell r="D231" t="str">
            <v>Total Sales from services</v>
          </cell>
          <cell r="E231">
            <v>-491557672.66000003</v>
          </cell>
          <cell r="F231">
            <v>-3389179543.4099998</v>
          </cell>
        </row>
        <row r="232">
          <cell r="A232" t="str">
            <v>31</v>
          </cell>
          <cell r="B232" t="str">
            <v>31</v>
          </cell>
          <cell r="C232" t="str">
            <v/>
          </cell>
          <cell r="D232" t="str">
            <v>Total Sales from services and others</v>
          </cell>
          <cell r="E232">
            <v>-491557672.66000003</v>
          </cell>
          <cell r="F232">
            <v>-3389680360.6500001</v>
          </cell>
        </row>
        <row r="233">
          <cell r="A233" t="str">
            <v>320</v>
          </cell>
          <cell r="B233" t="str">
            <v>320</v>
          </cell>
          <cell r="C233" t="str">
            <v/>
          </cell>
          <cell r="D233" t="str">
            <v>Total Sales from research &amp; development activ</v>
          </cell>
          <cell r="E233">
            <v>-26126888726.450001</v>
          </cell>
          <cell r="F233">
            <v>-111364294304.92999</v>
          </cell>
        </row>
        <row r="234">
          <cell r="A234" t="str">
            <v>32</v>
          </cell>
          <cell r="B234" t="str">
            <v>32</v>
          </cell>
          <cell r="C234" t="str">
            <v/>
          </cell>
          <cell r="D234" t="str">
            <v>Total Sales from research &amp; development activ</v>
          </cell>
          <cell r="E234">
            <v>-26126888726.450001</v>
          </cell>
          <cell r="F234">
            <v>-111364294304.92999</v>
          </cell>
        </row>
        <row r="235">
          <cell r="A235" t="str">
            <v>330</v>
          </cell>
          <cell r="B235" t="str">
            <v>330</v>
          </cell>
          <cell r="C235" t="str">
            <v/>
          </cell>
          <cell r="D235" t="str">
            <v>Total Sales from sales related activities</v>
          </cell>
          <cell r="E235">
            <v>-12871527.369999999</v>
          </cell>
          <cell r="F235">
            <v>-41727030.689999998</v>
          </cell>
        </row>
        <row r="236">
          <cell r="A236" t="str">
            <v>33</v>
          </cell>
          <cell r="B236" t="str">
            <v>33</v>
          </cell>
          <cell r="C236" t="str">
            <v/>
          </cell>
          <cell r="D236" t="str">
            <v>Total Sales from sales related activities</v>
          </cell>
          <cell r="E236">
            <v>-12871527.369999999</v>
          </cell>
          <cell r="F236">
            <v>-41727030.689999998</v>
          </cell>
        </row>
        <row r="237">
          <cell r="A237" t="str">
            <v>350</v>
          </cell>
          <cell r="B237" t="str">
            <v>350</v>
          </cell>
          <cell r="C237" t="str">
            <v/>
          </cell>
          <cell r="D237" t="str">
            <v>Total Manufacturing licence fees</v>
          </cell>
          <cell r="E237">
            <v>-126852674.78</v>
          </cell>
          <cell r="F237">
            <v>-543540702.59000003</v>
          </cell>
        </row>
        <row r="238">
          <cell r="A238" t="str">
            <v>35</v>
          </cell>
          <cell r="B238" t="str">
            <v>35</v>
          </cell>
          <cell r="C238" t="str">
            <v/>
          </cell>
          <cell r="D238" t="str">
            <v>Total Sales from licences</v>
          </cell>
          <cell r="E238">
            <v>-126852674.78</v>
          </cell>
          <cell r="F238">
            <v>-543540702.59000003</v>
          </cell>
        </row>
        <row r="239">
          <cell r="A239" t="str">
            <v>390</v>
          </cell>
          <cell r="B239" t="str">
            <v>390</v>
          </cell>
          <cell r="C239" t="str">
            <v/>
          </cell>
          <cell r="D239" t="str">
            <v>Total Income from reallocated overhead cost</v>
          </cell>
          <cell r="E239">
            <v>1345133.88</v>
          </cell>
          <cell r="F239">
            <v>1814489.76</v>
          </cell>
        </row>
        <row r="240">
          <cell r="A240" t="str">
            <v>39</v>
          </cell>
          <cell r="B240" t="str">
            <v>39</v>
          </cell>
          <cell r="C240" t="str">
            <v/>
          </cell>
          <cell r="D240" t="str">
            <v>Total Other income (realloc.overhead costs et</v>
          </cell>
          <cell r="E240">
            <v>1345133.88</v>
          </cell>
          <cell r="F240">
            <v>1814489.76</v>
          </cell>
        </row>
        <row r="241">
          <cell r="A241" t="str">
            <v>00000</v>
          </cell>
          <cell r="B241" t="str">
            <v>300000000</v>
          </cell>
          <cell r="C241" t="str">
            <v/>
          </cell>
          <cell r="D241" t="str">
            <v>Total Sales, sales allowances, other income</v>
          </cell>
          <cell r="E241">
            <v>-26898634772.529999</v>
          </cell>
          <cell r="F241">
            <v>-117866544937.78999</v>
          </cell>
        </row>
        <row r="242">
          <cell r="A242" t="str">
            <v>48</v>
          </cell>
          <cell r="B242" t="str">
            <v>48</v>
          </cell>
          <cell r="C242" t="str">
            <v/>
          </cell>
          <cell r="D242" t="str">
            <v/>
          </cell>
          <cell r="E242">
            <v>1030822231.33</v>
          </cell>
          <cell r="F242">
            <v>4368895577.5799999</v>
          </cell>
        </row>
        <row r="243">
          <cell r="A243" t="str">
            <v>410</v>
          </cell>
          <cell r="B243" t="str">
            <v>410</v>
          </cell>
          <cell r="C243" t="str">
            <v/>
          </cell>
          <cell r="D243" t="str">
            <v>Total Travel costs</v>
          </cell>
          <cell r="E243">
            <v>622014474.63999999</v>
          </cell>
          <cell r="F243">
            <v>2913392652.5</v>
          </cell>
        </row>
        <row r="244">
          <cell r="A244" t="str">
            <v>411</v>
          </cell>
          <cell r="B244" t="str">
            <v>411</v>
          </cell>
          <cell r="C244" t="str">
            <v/>
          </cell>
          <cell r="D244" t="str">
            <v>Total Entertainment expenses</v>
          </cell>
          <cell r="E244">
            <v>337517.62</v>
          </cell>
          <cell r="F244">
            <v>11865562.23</v>
          </cell>
        </row>
        <row r="245">
          <cell r="A245" t="str">
            <v>412</v>
          </cell>
          <cell r="B245" t="str">
            <v>412</v>
          </cell>
          <cell r="C245" t="str">
            <v/>
          </cell>
          <cell r="D245" t="str">
            <v>Total Vocational training</v>
          </cell>
          <cell r="E245">
            <v>45985299.530000001</v>
          </cell>
          <cell r="F245">
            <v>658050289.76999998</v>
          </cell>
        </row>
        <row r="246">
          <cell r="A246" t="str">
            <v>413</v>
          </cell>
          <cell r="B246" t="str">
            <v>413</v>
          </cell>
          <cell r="C246" t="str">
            <v/>
          </cell>
          <cell r="D246" t="str">
            <v>Total Occupational safety, work wear</v>
          </cell>
          <cell r="E246">
            <v>70575721.420000002</v>
          </cell>
          <cell r="F246">
            <v>322665367.19</v>
          </cell>
        </row>
        <row r="247">
          <cell r="A247" t="str">
            <v>414</v>
          </cell>
          <cell r="B247" t="str">
            <v>414</v>
          </cell>
          <cell r="C247" t="str">
            <v/>
          </cell>
          <cell r="D247" t="str">
            <v>Total Catering</v>
          </cell>
          <cell r="E247">
            <v>44208951.619999997</v>
          </cell>
          <cell r="F247">
            <v>612205397.88999999</v>
          </cell>
        </row>
        <row r="248">
          <cell r="A248" t="str">
            <v>415</v>
          </cell>
          <cell r="B248" t="str">
            <v>415</v>
          </cell>
          <cell r="C248" t="str">
            <v/>
          </cell>
          <cell r="D248" t="str">
            <v>Total Other personnel-oriented material costs</v>
          </cell>
          <cell r="E248">
            <v>352973214.14999998</v>
          </cell>
          <cell r="F248">
            <v>856094734.71000004</v>
          </cell>
        </row>
        <row r="249">
          <cell r="A249" t="str">
            <v>41</v>
          </cell>
          <cell r="B249" t="str">
            <v>41</v>
          </cell>
          <cell r="C249" t="str">
            <v/>
          </cell>
          <cell r="D249" t="str">
            <v>Total Personnel-oriented material costs</v>
          </cell>
          <cell r="E249">
            <v>1136095178.98</v>
          </cell>
          <cell r="F249">
            <v>5374274004.29</v>
          </cell>
        </row>
        <row r="250">
          <cell r="A250" t="str">
            <v>440</v>
          </cell>
          <cell r="B250" t="str">
            <v>440</v>
          </cell>
          <cell r="C250" t="str">
            <v/>
          </cell>
          <cell r="D250" t="str">
            <v>Total Research and development I</v>
          </cell>
          <cell r="E250">
            <v>107580584.91</v>
          </cell>
          <cell r="F250">
            <v>442811669.18000001</v>
          </cell>
        </row>
        <row r="251">
          <cell r="A251" t="str">
            <v>442</v>
          </cell>
          <cell r="B251" t="str">
            <v>442</v>
          </cell>
          <cell r="C251" t="str">
            <v/>
          </cell>
          <cell r="D251" t="str">
            <v>Total Sales: Advertising I</v>
          </cell>
          <cell r="E251">
            <v>-6305496.9299999997</v>
          </cell>
          <cell r="F251">
            <v>18499535.68</v>
          </cell>
        </row>
        <row r="252">
          <cell r="A252" t="str">
            <v>443</v>
          </cell>
          <cell r="B252" t="str">
            <v>443</v>
          </cell>
          <cell r="C252" t="str">
            <v/>
          </cell>
          <cell r="D252" t="str">
            <v>Total Sales: Advertising II</v>
          </cell>
          <cell r="E252">
            <v>13834639.310000001</v>
          </cell>
          <cell r="F252">
            <v>44081176.289999999</v>
          </cell>
        </row>
        <row r="253">
          <cell r="A253" t="str">
            <v>444</v>
          </cell>
          <cell r="B253" t="str">
            <v>444</v>
          </cell>
          <cell r="C253" t="str">
            <v/>
          </cell>
          <cell r="D253" t="str">
            <v>Total Sales: Trade fairs / sales promotion</v>
          </cell>
          <cell r="E253">
            <v>19446679.879999999</v>
          </cell>
          <cell r="F253">
            <v>103822966.5</v>
          </cell>
        </row>
        <row r="254">
          <cell r="A254" t="str">
            <v>445</v>
          </cell>
          <cell r="B254" t="str">
            <v>445</v>
          </cell>
          <cell r="C254" t="str">
            <v/>
          </cell>
          <cell r="D254" t="str">
            <v>Total Sales:Warranty,recall activities;del.co</v>
          </cell>
          <cell r="E254">
            <v>-2055337.18</v>
          </cell>
          <cell r="F254">
            <v>74349121.069999993</v>
          </cell>
        </row>
        <row r="255">
          <cell r="A255" t="str">
            <v>447</v>
          </cell>
          <cell r="B255" t="str">
            <v>447</v>
          </cell>
          <cell r="C255" t="str">
            <v/>
          </cell>
          <cell r="D255" t="str">
            <v>Total Sales: Outgoing freight and commissions</v>
          </cell>
          <cell r="E255">
            <v>46738.8</v>
          </cell>
          <cell r="F255">
            <v>695277</v>
          </cell>
        </row>
        <row r="256">
          <cell r="A256" t="str">
            <v>44</v>
          </cell>
          <cell r="B256" t="str">
            <v>44</v>
          </cell>
          <cell r="C256" t="str">
            <v/>
          </cell>
          <cell r="D256" t="str">
            <v>Total Research and development and sales</v>
          </cell>
          <cell r="E256">
            <v>132547808.79000001</v>
          </cell>
          <cell r="F256">
            <v>684259745.72000003</v>
          </cell>
        </row>
        <row r="257">
          <cell r="A257" t="str">
            <v>450</v>
          </cell>
          <cell r="B257" t="str">
            <v>450</v>
          </cell>
          <cell r="C257" t="str">
            <v/>
          </cell>
          <cell r="D257" t="str">
            <v>Total Maintenance costs - third parties</v>
          </cell>
          <cell r="E257">
            <v>80252994.5</v>
          </cell>
          <cell r="F257">
            <v>-274604286.92000002</v>
          </cell>
        </row>
        <row r="258">
          <cell r="A258" t="str">
            <v>510FF</v>
          </cell>
          <cell r="B258" t="str">
            <v>14510FF</v>
          </cell>
          <cell r="C258" t="str">
            <v/>
          </cell>
          <cell r="D258" t="str">
            <v/>
          </cell>
          <cell r="E258">
            <v>389074809.47000003</v>
          </cell>
          <cell r="F258">
            <v>1447278537.9300001</v>
          </cell>
        </row>
        <row r="259">
          <cell r="A259" t="str">
            <v>452</v>
          </cell>
          <cell r="B259" t="str">
            <v>452</v>
          </cell>
          <cell r="C259" t="str">
            <v/>
          </cell>
          <cell r="D259" t="str">
            <v>Total Communication costs and IT costs</v>
          </cell>
          <cell r="E259">
            <v>2702875439.8400002</v>
          </cell>
          <cell r="F259">
            <v>18088180964.889999</v>
          </cell>
        </row>
        <row r="260">
          <cell r="A260" t="str">
            <v>453</v>
          </cell>
          <cell r="B260" t="str">
            <v>453</v>
          </cell>
          <cell r="C260" t="str">
            <v/>
          </cell>
          <cell r="D260" t="str">
            <v>Total Insurance premiums and indemnifications</v>
          </cell>
          <cell r="E260">
            <v>26706762.48</v>
          </cell>
          <cell r="F260">
            <v>29367</v>
          </cell>
        </row>
        <row r="261">
          <cell r="A261" t="str">
            <v>454</v>
          </cell>
          <cell r="B261" t="str">
            <v>454</v>
          </cell>
          <cell r="C261" t="str">
            <v/>
          </cell>
          <cell r="D261" t="str">
            <v>Total Taxes (indepen. of  income), contributi</v>
          </cell>
          <cell r="E261">
            <v>6014262.4800000004</v>
          </cell>
          <cell r="F261">
            <v>1139930534.6700001</v>
          </cell>
        </row>
        <row r="262">
          <cell r="A262" t="str">
            <v>455</v>
          </cell>
          <cell r="B262" t="str">
            <v>455</v>
          </cell>
          <cell r="C262" t="str">
            <v/>
          </cell>
          <cell r="D262" t="str">
            <v>Total Reloc. expenses &amp; transport costs(excl.</v>
          </cell>
          <cell r="E262">
            <v>165077.76000000001</v>
          </cell>
          <cell r="F262">
            <v>1632710.88</v>
          </cell>
        </row>
        <row r="263">
          <cell r="A263" t="str">
            <v>456</v>
          </cell>
          <cell r="B263" t="str">
            <v>456</v>
          </cell>
          <cell r="C263" t="str">
            <v/>
          </cell>
          <cell r="D263" t="str">
            <v>Total Public relations and special literature</v>
          </cell>
          <cell r="E263">
            <v>130826.38</v>
          </cell>
          <cell r="F263">
            <v>1276639.3</v>
          </cell>
        </row>
        <row r="264">
          <cell r="A264" t="str">
            <v>457</v>
          </cell>
          <cell r="B264" t="str">
            <v>457</v>
          </cell>
          <cell r="C264" t="str">
            <v/>
          </cell>
          <cell r="D264" t="str">
            <v>Total Consulting expenses (without IT)</v>
          </cell>
          <cell r="E264">
            <v>613757313.34000003</v>
          </cell>
          <cell r="F264">
            <v>-1713895350.6700001</v>
          </cell>
        </row>
        <row r="265">
          <cell r="A265" t="str">
            <v>459</v>
          </cell>
          <cell r="B265" t="str">
            <v>459</v>
          </cell>
          <cell r="C265" t="str">
            <v/>
          </cell>
          <cell r="D265" t="str">
            <v>Total Other costs</v>
          </cell>
          <cell r="E265">
            <v>-943528597.51999998</v>
          </cell>
          <cell r="F265">
            <v>2768684844.1300001</v>
          </cell>
        </row>
        <row r="266">
          <cell r="A266" t="str">
            <v>45</v>
          </cell>
          <cell r="B266" t="str">
            <v>45</v>
          </cell>
          <cell r="C266" t="str">
            <v/>
          </cell>
          <cell r="D266" t="str">
            <v>Total Other costs - thrid parties</v>
          </cell>
          <cell r="E266">
            <v>2875448888.73</v>
          </cell>
          <cell r="F266">
            <v>21458513961.209999</v>
          </cell>
        </row>
        <row r="267">
          <cell r="A267" t="str">
            <v>00000</v>
          </cell>
          <cell r="B267" t="str">
            <v>400000000</v>
          </cell>
          <cell r="C267" t="str">
            <v/>
          </cell>
          <cell r="D267" t="str">
            <v>Total Costs</v>
          </cell>
          <cell r="E267">
            <v>5174914107.8299999</v>
          </cell>
          <cell r="F267">
            <v>31885943288.799999</v>
          </cell>
        </row>
        <row r="268">
          <cell r="A268" t="str">
            <v>630</v>
          </cell>
          <cell r="B268" t="str">
            <v>630</v>
          </cell>
          <cell r="C268" t="str">
            <v/>
          </cell>
          <cell r="D268" t="str">
            <v>Total Realized&amp;unrealized exch. rate gains re</v>
          </cell>
          <cell r="E268">
            <v>-463266603.85000002</v>
          </cell>
          <cell r="F268">
            <v>-1178366623.1700001</v>
          </cell>
        </row>
        <row r="269">
          <cell r="A269" t="str">
            <v>631</v>
          </cell>
          <cell r="B269" t="str">
            <v>631</v>
          </cell>
          <cell r="C269" t="str">
            <v/>
          </cell>
          <cell r="D269" t="str">
            <v>Total Realized&amp;unrealized exch. rate gains li</v>
          </cell>
          <cell r="E269">
            <v>120959415.06999999</v>
          </cell>
          <cell r="F269">
            <v>-78864951.519999996</v>
          </cell>
        </row>
        <row r="270">
          <cell r="A270" t="str">
            <v>63</v>
          </cell>
          <cell r="B270" t="str">
            <v>63</v>
          </cell>
          <cell r="C270" t="str">
            <v/>
          </cell>
          <cell r="D270" t="str">
            <v>Total Other gains / income</v>
          </cell>
          <cell r="E270">
            <v>-342307188.77999997</v>
          </cell>
          <cell r="F270">
            <v>-1349567218.4000001</v>
          </cell>
        </row>
        <row r="271">
          <cell r="A271" t="str">
            <v>640</v>
          </cell>
          <cell r="B271" t="str">
            <v>640</v>
          </cell>
          <cell r="C271" t="str">
            <v/>
          </cell>
          <cell r="D271" t="str">
            <v>Total Income from disposal of tangible fixed</v>
          </cell>
          <cell r="E271">
            <v>-1513240.59</v>
          </cell>
          <cell r="F271">
            <v>-3069830.09</v>
          </cell>
        </row>
        <row r="272">
          <cell r="A272" t="str">
            <v>642</v>
          </cell>
          <cell r="B272" t="str">
            <v>642</v>
          </cell>
          <cell r="C272" t="str">
            <v/>
          </cell>
          <cell r="D272" t="str">
            <v>Total Income from disposal of other assets</v>
          </cell>
          <cell r="E272">
            <v>-550161</v>
          </cell>
          <cell r="F272">
            <v>-120218994.68000001</v>
          </cell>
        </row>
        <row r="273">
          <cell r="A273" t="str">
            <v>64</v>
          </cell>
          <cell r="B273" t="str">
            <v>64</v>
          </cell>
          <cell r="C273" t="str">
            <v/>
          </cell>
          <cell r="D273" t="str">
            <v>Total Other operat  inc,fixed asset excl fina</v>
          </cell>
          <cell r="E273">
            <v>-2063401.59</v>
          </cell>
          <cell r="F273">
            <v>-582564864.94000006</v>
          </cell>
        </row>
        <row r="274">
          <cell r="A274" t="str">
            <v>650</v>
          </cell>
          <cell r="B274" t="str">
            <v>650</v>
          </cell>
          <cell r="C274" t="str">
            <v/>
          </cell>
          <cell r="D274" t="str">
            <v>Total Other operating income-third parties,B-</v>
          </cell>
          <cell r="E274">
            <v>-12935904.93</v>
          </cell>
          <cell r="F274">
            <v>41483538.479999997</v>
          </cell>
        </row>
        <row r="275">
          <cell r="A275" t="str">
            <v>65</v>
          </cell>
          <cell r="B275" t="str">
            <v>65</v>
          </cell>
          <cell r="C275" t="str">
            <v/>
          </cell>
          <cell r="D275" t="str">
            <v>Total Other operat. income, tax rec. for prev</v>
          </cell>
          <cell r="E275">
            <v>-12935904.93</v>
          </cell>
          <cell r="F275">
            <v>41483538.479999997</v>
          </cell>
        </row>
        <row r="276">
          <cell r="A276" t="str">
            <v>660</v>
          </cell>
          <cell r="B276" t="str">
            <v>660</v>
          </cell>
          <cell r="C276" t="str">
            <v/>
          </cell>
          <cell r="D276" t="str">
            <v>Total Realized &amp; unrealized exch. rate loss l</v>
          </cell>
          <cell r="E276">
            <v>-162027608.84999999</v>
          </cell>
          <cell r="F276">
            <v>557576742.62</v>
          </cell>
        </row>
        <row r="277">
          <cell r="A277" t="str">
            <v>661</v>
          </cell>
          <cell r="B277" t="str">
            <v>661</v>
          </cell>
          <cell r="C277" t="str">
            <v/>
          </cell>
          <cell r="D277" t="str">
            <v>Total Realized &amp; unrealized exch. rate loss r</v>
          </cell>
          <cell r="E277">
            <v>-14859907.449999999</v>
          </cell>
          <cell r="F277">
            <v>232206279.16</v>
          </cell>
        </row>
        <row r="278">
          <cell r="A278" t="str">
            <v>663</v>
          </cell>
          <cell r="B278" t="str">
            <v>663</v>
          </cell>
          <cell r="C278" t="str">
            <v/>
          </cell>
          <cell r="D278" t="str">
            <v/>
          </cell>
          <cell r="E278">
            <v>1128977882.6700001</v>
          </cell>
          <cell r="F278">
            <v>1164517197.05</v>
          </cell>
        </row>
        <row r="279">
          <cell r="A279" t="str">
            <v>666</v>
          </cell>
          <cell r="B279" t="str">
            <v>666</v>
          </cell>
          <cell r="C279" t="str">
            <v/>
          </cell>
          <cell r="D279" t="str">
            <v>Total Losses creation of provision deprec. re</v>
          </cell>
          <cell r="E279">
            <v>-7981779.5099999998</v>
          </cell>
          <cell r="F279">
            <v>61497600.18</v>
          </cell>
        </row>
        <row r="280">
          <cell r="A280" t="str">
            <v>66</v>
          </cell>
          <cell r="B280" t="str">
            <v>66</v>
          </cell>
          <cell r="C280" t="str">
            <v/>
          </cell>
          <cell r="D280" t="str">
            <v>Total Exp. trade receivables,other assets # 1</v>
          </cell>
          <cell r="E280">
            <v>944108586.86000001</v>
          </cell>
          <cell r="F280">
            <v>2104669630.1600001</v>
          </cell>
        </row>
        <row r="281">
          <cell r="A281" t="str">
            <v>670</v>
          </cell>
          <cell r="B281" t="str">
            <v>670</v>
          </cell>
          <cell r="C281" t="str">
            <v/>
          </cell>
          <cell r="D281" t="str">
            <v>Total Expense from disposal of tangible fixed</v>
          </cell>
          <cell r="E281">
            <v>2221490.23</v>
          </cell>
          <cell r="F281">
            <v>13342068.970000001</v>
          </cell>
        </row>
        <row r="282">
          <cell r="A282" t="str">
            <v>67</v>
          </cell>
          <cell r="B282" t="str">
            <v>67</v>
          </cell>
          <cell r="C282" t="str">
            <v/>
          </cell>
          <cell r="D282" t="str">
            <v>Total Oth oper. exp,exp from FA w/o financ. a</v>
          </cell>
          <cell r="E282">
            <v>2221490.23</v>
          </cell>
          <cell r="F282">
            <v>13342068.970000001</v>
          </cell>
        </row>
        <row r="283">
          <cell r="A283" t="str">
            <v>00000</v>
          </cell>
          <cell r="B283" t="str">
            <v>600000000</v>
          </cell>
          <cell r="C283" t="str">
            <v/>
          </cell>
          <cell r="D283" t="str">
            <v>Total Other operating income &amp; expense,deprec</v>
          </cell>
          <cell r="E283">
            <v>589023581.78999996</v>
          </cell>
          <cell r="F283">
            <v>-1172764674.3499999</v>
          </cell>
        </row>
        <row r="284">
          <cell r="A284" t="str">
            <v>710</v>
          </cell>
          <cell r="B284" t="str">
            <v>710</v>
          </cell>
          <cell r="C284" t="str">
            <v/>
          </cell>
          <cell r="D284" t="str">
            <v>Total Interest income</v>
          </cell>
          <cell r="E284">
            <v>-301581217.08999997</v>
          </cell>
          <cell r="F284">
            <v>-1448913255.02</v>
          </cell>
        </row>
        <row r="285">
          <cell r="A285" t="str">
            <v>711</v>
          </cell>
          <cell r="B285" t="str">
            <v>711</v>
          </cell>
          <cell r="C285" t="str">
            <v/>
          </cell>
          <cell r="D285" t="str">
            <v>Total Interest Expenses</v>
          </cell>
          <cell r="E285">
            <v>-73081461.599999994</v>
          </cell>
          <cell r="F285">
            <v>749414939.89999998</v>
          </cell>
        </row>
        <row r="286">
          <cell r="A286" t="str">
            <v>71</v>
          </cell>
          <cell r="B286" t="str">
            <v>71</v>
          </cell>
          <cell r="C286" t="str">
            <v/>
          </cell>
          <cell r="D286" t="str">
            <v>Total Interest result</v>
          </cell>
          <cell r="E286">
            <v>-374662678.69</v>
          </cell>
          <cell r="F286">
            <v>-699498315.12</v>
          </cell>
        </row>
        <row r="287">
          <cell r="A287" t="str">
            <v>721</v>
          </cell>
          <cell r="B287" t="str">
            <v>721</v>
          </cell>
          <cell r="C287" t="str">
            <v/>
          </cell>
          <cell r="D287" t="str">
            <v>Total Other financial results 2</v>
          </cell>
          <cell r="E287">
            <v>50731.05</v>
          </cell>
          <cell r="F287">
            <v>0</v>
          </cell>
        </row>
        <row r="288">
          <cell r="A288" t="str">
            <v>722</v>
          </cell>
          <cell r="B288" t="str">
            <v>722</v>
          </cell>
          <cell r="C288" t="str">
            <v/>
          </cell>
          <cell r="D288" t="str">
            <v>Total Other financial results 3</v>
          </cell>
          <cell r="E288">
            <v>-0.37</v>
          </cell>
          <cell r="F288">
            <v>0</v>
          </cell>
        </row>
        <row r="289">
          <cell r="A289" t="str">
            <v>725</v>
          </cell>
          <cell r="B289" t="str">
            <v>725</v>
          </cell>
          <cell r="C289" t="str">
            <v/>
          </cell>
          <cell r="D289" t="str">
            <v>Total Other financial results 4</v>
          </cell>
          <cell r="E289">
            <v>190121890.13999999</v>
          </cell>
          <cell r="F289">
            <v>1131899295.1400001</v>
          </cell>
        </row>
        <row r="290">
          <cell r="A290" t="str">
            <v>729</v>
          </cell>
          <cell r="B290" t="str">
            <v>729</v>
          </cell>
          <cell r="C290" t="str">
            <v/>
          </cell>
          <cell r="D290" t="str">
            <v>Total Real. and not real. exchange rate fin.</v>
          </cell>
          <cell r="E290">
            <v>-182173295.02000001</v>
          </cell>
          <cell r="F290">
            <v>-470569042.75999999</v>
          </cell>
        </row>
        <row r="291">
          <cell r="A291" t="str">
            <v>72</v>
          </cell>
          <cell r="B291" t="str">
            <v>72</v>
          </cell>
          <cell r="C291" t="str">
            <v/>
          </cell>
          <cell r="D291" t="str">
            <v>Total Other financial results</v>
          </cell>
          <cell r="E291">
            <v>7999325.7999999998</v>
          </cell>
          <cell r="F291">
            <v>661159081.98000002</v>
          </cell>
        </row>
        <row r="292">
          <cell r="A292" t="str">
            <v>751</v>
          </cell>
          <cell r="B292" t="str">
            <v>751</v>
          </cell>
          <cell r="C292" t="str">
            <v/>
          </cell>
          <cell r="D292" t="str">
            <v>Total Accrued income tax expenses - current y</v>
          </cell>
          <cell r="E292">
            <v>1807746675.0599999</v>
          </cell>
          <cell r="F292">
            <v>7193637897.4899998</v>
          </cell>
        </row>
        <row r="293">
          <cell r="A293" t="str">
            <v>758</v>
          </cell>
          <cell r="B293" t="str">
            <v>758</v>
          </cell>
          <cell r="C293" t="str">
            <v/>
          </cell>
          <cell r="D293" t="str">
            <v>Total Deferred tax expenses</v>
          </cell>
          <cell r="E293">
            <v>-385766847.18000001</v>
          </cell>
          <cell r="F293">
            <v>-1543067388.73</v>
          </cell>
        </row>
        <row r="294">
          <cell r="A294" t="str">
            <v>75</v>
          </cell>
          <cell r="B294" t="str">
            <v>75</v>
          </cell>
          <cell r="C294" t="str">
            <v/>
          </cell>
          <cell r="D294" t="str">
            <v>Total Taxes on income</v>
          </cell>
          <cell r="E294">
            <v>1421979827.8800001</v>
          </cell>
          <cell r="F294">
            <v>5650570508.7600002</v>
          </cell>
        </row>
        <row r="295">
          <cell r="A295" t="str">
            <v>00000</v>
          </cell>
          <cell r="B295" t="str">
            <v>700000000</v>
          </cell>
          <cell r="C295" t="str">
            <v/>
          </cell>
          <cell r="D295" t="str">
            <v>Total Financial result and taxes</v>
          </cell>
          <cell r="E295">
            <v>1055316474.99</v>
          </cell>
          <cell r="F295">
            <v>4882599151.8299999</v>
          </cell>
        </row>
        <row r="296">
          <cell r="A296" t="str">
            <v>998</v>
          </cell>
          <cell r="B296" t="str">
            <v>998</v>
          </cell>
          <cell r="C296" t="str">
            <v/>
          </cell>
          <cell r="D296" t="str">
            <v>P&amp;L Result</v>
          </cell>
          <cell r="E296">
            <v>4386830458.6400003</v>
          </cell>
          <cell r="F296">
            <v>18215609768.77</v>
          </cell>
        </row>
        <row r="297">
          <cell r="A297" t="str">
            <v>T1001</v>
          </cell>
          <cell r="B297" t="str">
            <v>MIGRAT1001</v>
          </cell>
          <cell r="C297" t="str">
            <v/>
          </cell>
          <cell r="D297" t="str">
            <v>Total Migration offset accounts common</v>
          </cell>
          <cell r="E297">
            <v>-0.3</v>
          </cell>
          <cell r="F297">
            <v>-0.3</v>
          </cell>
        </row>
        <row r="298">
          <cell r="A298" t="str">
            <v>T1002</v>
          </cell>
          <cell r="B298" t="str">
            <v>MIGRAT1002</v>
          </cell>
          <cell r="C298" t="str">
            <v/>
          </cell>
          <cell r="D298" t="str">
            <v>Total Migration offset accounts IFRS</v>
          </cell>
          <cell r="E298">
            <v>0.85</v>
          </cell>
          <cell r="F298">
            <v>0.85</v>
          </cell>
        </row>
        <row r="299">
          <cell r="A299" t="str">
            <v>T1003</v>
          </cell>
          <cell r="B299" t="str">
            <v>MIGRAT1003</v>
          </cell>
          <cell r="C299" t="str">
            <v/>
          </cell>
          <cell r="D299" t="str">
            <v>Total Migration offset accounts Local GAAP</v>
          </cell>
          <cell r="E299">
            <v>-0.68</v>
          </cell>
          <cell r="F299">
            <v>-0.68</v>
          </cell>
        </row>
        <row r="300">
          <cell r="A300" t="str">
            <v>TION1</v>
          </cell>
          <cell r="B300" t="str">
            <v>MIGRATION1</v>
          </cell>
          <cell r="C300" t="str">
            <v/>
          </cell>
          <cell r="D300" t="str">
            <v>Total Migration offset accounts</v>
          </cell>
          <cell r="E300">
            <v>-0.13</v>
          </cell>
          <cell r="F300">
            <v>-0.13</v>
          </cell>
        </row>
        <row r="301">
          <cell r="A301" t="str">
            <v>T2001</v>
          </cell>
          <cell r="B301" t="str">
            <v>MIGRAT2001</v>
          </cell>
          <cell r="C301" t="str">
            <v/>
          </cell>
          <cell r="D301" t="str">
            <v>Total Suspense accounts for migration common</v>
          </cell>
          <cell r="E301">
            <v>1.65</v>
          </cell>
          <cell r="F301">
            <v>1.65</v>
          </cell>
        </row>
        <row r="302">
          <cell r="A302" t="str">
            <v>T2002</v>
          </cell>
          <cell r="B302" t="str">
            <v>MIGRAT2002</v>
          </cell>
          <cell r="C302" t="str">
            <v/>
          </cell>
          <cell r="D302" t="str">
            <v>Total Suspense accounts for migration IFRS</v>
          </cell>
          <cell r="E302">
            <v>-1.2</v>
          </cell>
          <cell r="F302">
            <v>-1.2</v>
          </cell>
        </row>
        <row r="303">
          <cell r="A303" t="str">
            <v>T2003</v>
          </cell>
          <cell r="B303" t="str">
            <v>MIGRAT2003</v>
          </cell>
          <cell r="C303" t="str">
            <v/>
          </cell>
          <cell r="D303" t="str">
            <v>Total Suspense accounts for migration Local G</v>
          </cell>
          <cell r="E303">
            <v>0.33</v>
          </cell>
          <cell r="F303">
            <v>0.33</v>
          </cell>
        </row>
        <row r="304">
          <cell r="A304" t="str">
            <v>TION2</v>
          </cell>
          <cell r="B304" t="str">
            <v>MIGRATION2</v>
          </cell>
          <cell r="C304" t="str">
            <v/>
          </cell>
          <cell r="D304" t="str">
            <v>Total Suspense accounts for migration</v>
          </cell>
          <cell r="E304">
            <v>0.78</v>
          </cell>
          <cell r="F304">
            <v>0.78</v>
          </cell>
        </row>
        <row r="305">
          <cell r="A305" t="str">
            <v>ATION</v>
          </cell>
          <cell r="B305" t="str">
            <v>MIGRATION</v>
          </cell>
          <cell r="C305" t="str">
            <v/>
          </cell>
          <cell r="D305" t="str">
            <v>Migration Accounts</v>
          </cell>
          <cell r="E305">
            <v>0.65</v>
          </cell>
          <cell r="F305">
            <v>0.65</v>
          </cell>
        </row>
        <row r="306">
          <cell r="A306" t="str">
            <v>ASSET</v>
          </cell>
          <cell r="B306" t="str">
            <v>LOCALASSET</v>
          </cell>
          <cell r="C306" t="str">
            <v/>
          </cell>
          <cell r="D306" t="str">
            <v/>
          </cell>
          <cell r="E306">
            <v>13138415518.4</v>
          </cell>
          <cell r="F306">
            <v>13616305802.02</v>
          </cell>
        </row>
        <row r="307">
          <cell r="A307" t="str">
            <v>LREST</v>
          </cell>
          <cell r="B307" t="str">
            <v>LOCALREST</v>
          </cell>
          <cell r="C307" t="str">
            <v/>
          </cell>
          <cell r="D307" t="str">
            <v/>
          </cell>
          <cell r="E307">
            <v>22491090808.639999</v>
          </cell>
          <cell r="F307">
            <v>21698825253.66</v>
          </cell>
        </row>
        <row r="308">
          <cell r="A308" t="str">
            <v>835</v>
          </cell>
          <cell r="B308" t="str">
            <v>835</v>
          </cell>
          <cell r="C308" t="str">
            <v/>
          </cell>
          <cell r="D308" t="str">
            <v/>
          </cell>
          <cell r="E308">
            <v>-2286525289.4400001</v>
          </cell>
          <cell r="F308">
            <v>-2286525289.4400001</v>
          </cell>
        </row>
        <row r="309">
          <cell r="A309" t="str">
            <v>870</v>
          </cell>
          <cell r="B309" t="str">
            <v>870</v>
          </cell>
          <cell r="C309" t="str">
            <v/>
          </cell>
          <cell r="D309" t="str">
            <v/>
          </cell>
          <cell r="E309">
            <v>-33342981038.25</v>
          </cell>
          <cell r="F309">
            <v>-33028605766.889999</v>
          </cell>
        </row>
        <row r="310">
          <cell r="A310" t="str">
            <v>87</v>
          </cell>
          <cell r="B310" t="str">
            <v>87</v>
          </cell>
          <cell r="C310" t="str">
            <v/>
          </cell>
          <cell r="D310" t="str">
            <v/>
          </cell>
          <cell r="E310">
            <v>-33342981038.25</v>
          </cell>
          <cell r="F310">
            <v>-33028605766.889999</v>
          </cell>
        </row>
        <row r="311">
          <cell r="A311" t="str">
            <v>35_87</v>
          </cell>
          <cell r="B311" t="str">
            <v>835_87</v>
          </cell>
          <cell r="C311" t="str">
            <v/>
          </cell>
          <cell r="D311" t="str">
            <v/>
          </cell>
          <cell r="E311">
            <v>-35629506327.690002</v>
          </cell>
          <cell r="F311">
            <v>-35315131056.330002</v>
          </cell>
        </row>
        <row r="312">
          <cell r="A312" t="str">
            <v>LOCAL</v>
          </cell>
          <cell r="B312" t="str">
            <v>LOCAL</v>
          </cell>
          <cell r="C312" t="str">
            <v/>
          </cell>
          <cell r="D312" t="str">
            <v/>
          </cell>
          <cell r="E312">
            <v>-0.65</v>
          </cell>
          <cell r="F312">
            <v>-0.65</v>
          </cell>
        </row>
        <row r="313">
          <cell r="A313" t="str">
            <v>TECHN</v>
          </cell>
          <cell r="B313" t="str">
            <v>LOCALTECHN</v>
          </cell>
          <cell r="C313" t="str">
            <v/>
          </cell>
          <cell r="D313" t="str">
            <v>Local GAAP accounts and technical accounts</v>
          </cell>
          <cell r="E313">
            <v>-0.65</v>
          </cell>
          <cell r="F313">
            <v>-0.65</v>
          </cell>
        </row>
        <row r="314">
          <cell r="A314" t="str">
            <v>802P</v>
          </cell>
          <cell r="B314" t="str">
            <v>802P</v>
          </cell>
          <cell r="C314" t="str">
            <v/>
          </cell>
          <cell r="D314" t="str">
            <v/>
          </cell>
          <cell r="E314">
            <v>-550770.48</v>
          </cell>
          <cell r="F314">
            <v>-0.22</v>
          </cell>
        </row>
        <row r="315">
          <cell r="A315" t="str">
            <v>81</v>
          </cell>
          <cell r="B315" t="str">
            <v>81</v>
          </cell>
          <cell r="C315" t="str">
            <v/>
          </cell>
          <cell r="D315" t="str">
            <v/>
          </cell>
          <cell r="E315">
            <v>-550770.48</v>
          </cell>
          <cell r="F315">
            <v>-0.22</v>
          </cell>
        </row>
        <row r="316">
          <cell r="A316" t="str">
            <v>831</v>
          </cell>
          <cell r="B316" t="str">
            <v>831</v>
          </cell>
          <cell r="C316" t="str">
            <v/>
          </cell>
          <cell r="D316" t="str">
            <v/>
          </cell>
          <cell r="E316">
            <v>-0.36</v>
          </cell>
          <cell r="F316">
            <v>-0.36</v>
          </cell>
        </row>
        <row r="317">
          <cell r="A317" t="str">
            <v>833</v>
          </cell>
          <cell r="B317" t="str">
            <v>833</v>
          </cell>
          <cell r="C317" t="str">
            <v/>
          </cell>
          <cell r="D317" t="str">
            <v/>
          </cell>
          <cell r="E317">
            <v>827784.36</v>
          </cell>
          <cell r="F317">
            <v>0</v>
          </cell>
        </row>
        <row r="318">
          <cell r="A318" t="str">
            <v>837</v>
          </cell>
          <cell r="B318" t="str">
            <v>837</v>
          </cell>
          <cell r="C318" t="str">
            <v/>
          </cell>
          <cell r="D318" t="str">
            <v/>
          </cell>
          <cell r="E318">
            <v>-277013.52</v>
          </cell>
          <cell r="F318">
            <v>0.21</v>
          </cell>
        </row>
        <row r="319">
          <cell r="A319" t="str">
            <v>83</v>
          </cell>
          <cell r="B319" t="str">
            <v>83</v>
          </cell>
          <cell r="C319" t="str">
            <v/>
          </cell>
          <cell r="D319" t="str">
            <v/>
          </cell>
          <cell r="E319">
            <v>550770.48</v>
          </cell>
          <cell r="F319">
            <v>-0.15</v>
          </cell>
        </row>
        <row r="320">
          <cell r="A320" t="str">
            <v/>
          </cell>
          <cell r="B320" t="str">
            <v/>
          </cell>
          <cell r="C320" t="str">
            <v/>
          </cell>
          <cell r="D320" t="str">
            <v/>
          </cell>
          <cell r="E320">
            <v>-31876235067.950001</v>
          </cell>
          <cell r="F320">
            <v>12302399855.23</v>
          </cell>
        </row>
        <row r="321">
          <cell r="A321" t="str">
            <v/>
          </cell>
        </row>
        <row r="322">
          <cell r="A322" t="str">
            <v/>
          </cell>
        </row>
        <row r="323">
          <cell r="A323" t="str">
            <v/>
          </cell>
        </row>
        <row r="324">
          <cell r="A324" t="str">
            <v/>
          </cell>
        </row>
        <row r="325">
          <cell r="A325" t="str">
            <v/>
          </cell>
        </row>
        <row r="326">
          <cell r="A326" t="str">
            <v/>
          </cell>
        </row>
        <row r="327">
          <cell r="A327" t="str">
            <v/>
          </cell>
        </row>
        <row r="328">
          <cell r="A328" t="str">
            <v/>
          </cell>
        </row>
        <row r="329">
          <cell r="A329" t="str">
            <v/>
          </cell>
        </row>
        <row r="330">
          <cell r="A330" t="str">
            <v/>
          </cell>
        </row>
        <row r="331">
          <cell r="A331" t="str">
            <v/>
          </cell>
        </row>
        <row r="332">
          <cell r="A332" t="str">
            <v/>
          </cell>
        </row>
        <row r="333">
          <cell r="A333" t="str">
            <v/>
          </cell>
        </row>
        <row r="334">
          <cell r="A334" t="str">
            <v/>
          </cell>
        </row>
        <row r="335">
          <cell r="A335" t="str">
            <v/>
          </cell>
        </row>
        <row r="336">
          <cell r="A336" t="str">
            <v/>
          </cell>
        </row>
        <row r="337">
          <cell r="A337" t="str">
            <v/>
          </cell>
        </row>
        <row r="338">
          <cell r="A338" t="str">
            <v/>
          </cell>
        </row>
        <row r="339">
          <cell r="A339" t="str">
            <v/>
          </cell>
        </row>
        <row r="340">
          <cell r="A340" t="str">
            <v/>
          </cell>
        </row>
        <row r="341">
          <cell r="A341" t="str">
            <v/>
          </cell>
        </row>
        <row r="342">
          <cell r="A342" t="str">
            <v/>
          </cell>
        </row>
        <row r="343">
          <cell r="A343" t="str">
            <v/>
          </cell>
        </row>
        <row r="344">
          <cell r="A344" t="str">
            <v/>
          </cell>
        </row>
        <row r="345">
          <cell r="A345" t="str">
            <v/>
          </cell>
        </row>
        <row r="346">
          <cell r="A346" t="str">
            <v/>
          </cell>
        </row>
        <row r="347">
          <cell r="A347" t="str">
            <v/>
          </cell>
        </row>
        <row r="348">
          <cell r="A348" t="str">
            <v/>
          </cell>
        </row>
        <row r="349">
          <cell r="A349" t="str">
            <v/>
          </cell>
        </row>
        <row r="350">
          <cell r="A350" t="str">
            <v/>
          </cell>
        </row>
        <row r="351">
          <cell r="A351" t="str">
            <v/>
          </cell>
        </row>
        <row r="352">
          <cell r="A352" t="str">
            <v/>
          </cell>
        </row>
        <row r="353">
          <cell r="A353" t="str">
            <v/>
          </cell>
        </row>
        <row r="354">
          <cell r="A354" t="str">
            <v/>
          </cell>
        </row>
        <row r="355">
          <cell r="A355" t="str">
            <v/>
          </cell>
        </row>
        <row r="356">
          <cell r="A356" t="str">
            <v/>
          </cell>
        </row>
        <row r="357">
          <cell r="A357" t="str">
            <v/>
          </cell>
        </row>
        <row r="358">
          <cell r="A358" t="str">
            <v/>
          </cell>
        </row>
        <row r="359">
          <cell r="A359" t="str">
            <v/>
          </cell>
        </row>
        <row r="360">
          <cell r="A360" t="str">
            <v/>
          </cell>
        </row>
        <row r="361">
          <cell r="A361" t="str">
            <v/>
          </cell>
        </row>
        <row r="362">
          <cell r="A362" t="str">
            <v/>
          </cell>
        </row>
        <row r="363">
          <cell r="A363" t="str">
            <v/>
          </cell>
        </row>
        <row r="364">
          <cell r="A364" t="str">
            <v/>
          </cell>
        </row>
        <row r="365">
          <cell r="A365" t="str">
            <v/>
          </cell>
        </row>
        <row r="366">
          <cell r="A366" t="str">
            <v/>
          </cell>
        </row>
        <row r="367">
          <cell r="A367" t="str">
            <v/>
          </cell>
        </row>
        <row r="368">
          <cell r="A368" t="str">
            <v/>
          </cell>
        </row>
        <row r="369">
          <cell r="A369" t="str">
            <v/>
          </cell>
        </row>
        <row r="370">
          <cell r="A370" t="str">
            <v/>
          </cell>
        </row>
        <row r="371">
          <cell r="A371" t="str">
            <v/>
          </cell>
        </row>
        <row r="372">
          <cell r="A372" t="str">
            <v/>
          </cell>
        </row>
        <row r="373">
          <cell r="A373" t="str">
            <v/>
          </cell>
        </row>
        <row r="374">
          <cell r="A374" t="str">
            <v/>
          </cell>
        </row>
        <row r="375">
          <cell r="A375" t="str">
            <v/>
          </cell>
        </row>
        <row r="376">
          <cell r="A376" t="str">
            <v/>
          </cell>
        </row>
        <row r="377">
          <cell r="A377" t="str">
            <v/>
          </cell>
        </row>
        <row r="378">
          <cell r="A378" t="str">
            <v/>
          </cell>
        </row>
        <row r="379">
          <cell r="A379" t="str">
            <v/>
          </cell>
        </row>
        <row r="380">
          <cell r="A380" t="str">
            <v/>
          </cell>
        </row>
        <row r="381">
          <cell r="A381" t="str">
            <v/>
          </cell>
        </row>
        <row r="382">
          <cell r="A382" t="str">
            <v/>
          </cell>
        </row>
        <row r="383">
          <cell r="A383" t="str">
            <v/>
          </cell>
        </row>
        <row r="384">
          <cell r="A384" t="str">
            <v/>
          </cell>
        </row>
        <row r="385">
          <cell r="A385" t="str">
            <v/>
          </cell>
        </row>
        <row r="386">
          <cell r="A386" t="str">
            <v/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  <sheetName val="Cntl"/>
      <sheetName val="Mapping IC"/>
      <sheetName val="Mapping FX"/>
      <sheetName val="SAP Input-BS_K_Assets"/>
      <sheetName val="SAP Input-BS_K_Liabilities"/>
      <sheetName val="SAP Input-BS"/>
      <sheetName val="SAP Input-A.FA1"/>
      <sheetName val="SAP Input-A.FA2"/>
      <sheetName val="SAP Input-A.FA3"/>
      <sheetName val="SAP Input-A.FA4"/>
      <sheetName val="SAP Input-A.FA5"/>
      <sheetName val="SAP Input-A.FA6"/>
      <sheetName val="SAP Input-A.FA7"/>
      <sheetName val="SAP Input-A.FA8"/>
      <sheetName val="SAP Input-A.FA9"/>
      <sheetName val="SAP Input-A.FAman"/>
      <sheetName val="SAP Input-Inv"/>
      <sheetName val="SAP Input-Inv_K"/>
      <sheetName val="SAP Input-IS_K"/>
      <sheetName val="SAP Input-IS"/>
      <sheetName val="SAP Input-Lease"/>
      <sheetName val="SAP Input-Lease_NF7"/>
      <sheetName val="SAP Input-L.Pr"/>
      <sheetName val="A.1"/>
      <sheetName val="A.1_MS"/>
      <sheetName val="A.1_K"/>
      <sheetName val="A.1_N"/>
      <sheetName val="A.Inv"/>
      <sheetName val="A.Inv_K"/>
      <sheetName val="A.FA"/>
      <sheetName val="A.FA_K"/>
      <sheetName val="A.Imt"/>
      <sheetName val="L.1"/>
      <sheetName val="L.1_FL"/>
      <sheetName val="L.1_K_Eq"/>
      <sheetName val="L.1_N"/>
      <sheetName val="L.Pr"/>
      <sheetName val="L.Eq"/>
      <sheetName val="B.Cons_A"/>
      <sheetName val="B.Cons_L"/>
      <sheetName val="B.Cons"/>
      <sheetName val="CF"/>
      <sheetName val="CF_State"/>
      <sheetName val="IS"/>
      <sheetName val="IS_K"/>
      <sheetName val="IS_N"/>
      <sheetName val="IS_B"/>
      <sheetName val="IS_Imt1"/>
      <sheetName val="IS_Tax"/>
      <sheetName val="B_State"/>
      <sheetName val="I_State"/>
      <sheetName val="N.T1"/>
      <sheetName val="N.T2"/>
      <sheetName val="N.T3"/>
      <sheetName val="N.T4_1,2"/>
      <sheetName val="N.T4_3,4"/>
      <sheetName val="N.T4_5"/>
      <sheetName val="N.T6"/>
      <sheetName val="N.T7"/>
      <sheetName val="N.T9"/>
      <sheetName val="N.T_IFS"/>
      <sheetName val="N.T9_K"/>
      <sheetName val="N.SNC"/>
      <sheetName val="N.S"/>
      <sheetName val="N.BA"/>
      <sheetName val="N.ICE"/>
      <sheetName val="N.BL"/>
      <sheetName val="N.CA_CL"/>
      <sheetName val="N.RP_B"/>
      <sheetName val="N.RP_N"/>
      <sheetName val="N.IS"/>
      <sheetName val="N.F1_N"/>
      <sheetName val="N.F1_P"/>
      <sheetName val="N.F2_1"/>
      <sheetName val="N.F2_2"/>
      <sheetName val="N.F3"/>
      <sheetName val="N.F4"/>
      <sheetName val="N.F4_K"/>
      <sheetName val="N.F5"/>
      <sheetName val="N.F6_1"/>
      <sheetName val="N.F6_2"/>
      <sheetName val="N.F7"/>
      <sheetName val="N.F8"/>
      <sheetName val="N.HB1"/>
      <sheetName val="N.MBR1"/>
      <sheetName val="N.V"/>
      <sheetName val="Check"/>
      <sheetName val="Softchecks"/>
      <sheetName val="K_N_B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A5" t="str">
            <v>17003</v>
          </cell>
          <cell r="B5" t="str">
            <v>RB-C-17003</v>
          </cell>
          <cell r="C5" t="str">
            <v/>
          </cell>
          <cell r="D5" t="str">
            <v>Total 17003 Cash on hand</v>
          </cell>
          <cell r="E5">
            <v>2415</v>
          </cell>
        </row>
        <row r="6">
          <cell r="A6" t="str">
            <v>17005</v>
          </cell>
          <cell r="B6" t="str">
            <v>RB-C-17005</v>
          </cell>
          <cell r="C6" t="str">
            <v/>
          </cell>
          <cell r="D6" t="str">
            <v>Total 17005 Bank balances &lt; 90 days</v>
          </cell>
          <cell r="E6">
            <v>4093160878.3800001</v>
          </cell>
        </row>
        <row r="7">
          <cell r="A7" t="str">
            <v>AC_CH</v>
          </cell>
          <cell r="B7" t="str">
            <v>RB-C-AC_CH</v>
          </cell>
          <cell r="C7" t="str">
            <v/>
          </cell>
          <cell r="D7" t="str">
            <v>Total AC_CH Total: Cash and cash equivalents</v>
          </cell>
          <cell r="E7">
            <v>4093163293.3800001</v>
          </cell>
        </row>
        <row r="8">
          <cell r="A8" t="str">
            <v>1800C</v>
          </cell>
          <cell r="B8" t="str">
            <v>RB-C-1800C</v>
          </cell>
          <cell r="C8" t="str">
            <v/>
          </cell>
          <cell r="D8" t="str">
            <v>Total Trade receiv. Thrd parties,etc Nom. val</v>
          </cell>
          <cell r="E8">
            <v>2469416507.3499999</v>
          </cell>
        </row>
        <row r="9">
          <cell r="A9" t="str">
            <v>1800D</v>
          </cell>
          <cell r="B9" t="str">
            <v>RB-C-1800D</v>
          </cell>
          <cell r="C9" t="str">
            <v/>
          </cell>
          <cell r="D9" t="str">
            <v>Total Trade receiv. Thrd part.,etc Allow.,</v>
          </cell>
          <cell r="E9">
            <v>-155352925.47999999</v>
          </cell>
        </row>
        <row r="10">
          <cell r="A10" t="str">
            <v>18000</v>
          </cell>
          <cell r="B10" t="str">
            <v>RB-C-18000</v>
          </cell>
          <cell r="C10" t="str">
            <v/>
          </cell>
          <cell r="D10" t="str">
            <v>18000 Trade receivables - 3rd, B-c, B-f</v>
          </cell>
          <cell r="E10">
            <v>2314063581.8699999</v>
          </cell>
        </row>
        <row r="11">
          <cell r="A11" t="str">
            <v>1802I</v>
          </cell>
          <cell r="B11" t="str">
            <v>RB-C-1802I</v>
          </cell>
          <cell r="C11" t="str">
            <v/>
          </cell>
          <cell r="D11" t="str">
            <v>Trade receivables - K - Intrasegment</v>
          </cell>
          <cell r="E11">
            <v>15033600424.25</v>
          </cell>
        </row>
        <row r="12">
          <cell r="A12" t="str">
            <v>1802S</v>
          </cell>
          <cell r="B12" t="str">
            <v>RB-C-1802S</v>
          </cell>
          <cell r="C12" t="str">
            <v/>
          </cell>
          <cell r="D12" t="str">
            <v>Trade receivables - K - Intersegment</v>
          </cell>
          <cell r="E12">
            <v>1238623824.1300001</v>
          </cell>
        </row>
        <row r="13">
          <cell r="A13" t="str">
            <v>18020</v>
          </cell>
          <cell r="B13" t="str">
            <v>RB-C-18020</v>
          </cell>
          <cell r="C13" t="str">
            <v/>
          </cell>
          <cell r="D13" t="str">
            <v>18020 Trade receivables - K</v>
          </cell>
          <cell r="E13">
            <v>16272224248.379999</v>
          </cell>
        </row>
        <row r="14">
          <cell r="A14" t="str">
            <v>1804C</v>
          </cell>
          <cell r="B14" t="str">
            <v>RB-C-1804C</v>
          </cell>
          <cell r="C14" t="str">
            <v/>
          </cell>
          <cell r="D14" t="str">
            <v>Total Trade receivables N Nominal value</v>
          </cell>
          <cell r="E14">
            <v>106663127.92</v>
          </cell>
        </row>
        <row r="15">
          <cell r="A15" t="str">
            <v>18040</v>
          </cell>
          <cell r="B15" t="str">
            <v>RB-C-18040</v>
          </cell>
          <cell r="C15" t="str">
            <v/>
          </cell>
          <cell r="D15" t="str">
            <v>18040 Trade receivables - N</v>
          </cell>
          <cell r="E15">
            <v>106663127.92</v>
          </cell>
        </row>
        <row r="16">
          <cell r="A16" t="str">
            <v>AC_AR</v>
          </cell>
          <cell r="B16" t="str">
            <v>RB-C-AC_AR</v>
          </cell>
          <cell r="C16" t="str">
            <v/>
          </cell>
          <cell r="D16" t="str">
            <v>Total AC_AR Total: Trade receivables</v>
          </cell>
          <cell r="E16">
            <v>18692950958.169998</v>
          </cell>
        </row>
        <row r="17">
          <cell r="A17" t="str">
            <v>17057</v>
          </cell>
          <cell r="B17" t="str">
            <v>RB-C-17057</v>
          </cell>
          <cell r="C17" t="str">
            <v/>
          </cell>
          <cell r="D17" t="str">
            <v>17057 Money market funds - FVPL</v>
          </cell>
          <cell r="E17">
            <v>11601775417</v>
          </cell>
        </row>
        <row r="18">
          <cell r="A18" t="str">
            <v>17066</v>
          </cell>
          <cell r="B18" t="str">
            <v>RB-C-17066</v>
          </cell>
          <cell r="C18" t="str">
            <v/>
          </cell>
          <cell r="D18" t="str">
            <v>17066 Marketable sec. &lt; 1 year - FVOCI wR</v>
          </cell>
          <cell r="E18">
            <v>-0.34</v>
          </cell>
        </row>
        <row r="19">
          <cell r="A19" t="str">
            <v>17099</v>
          </cell>
          <cell r="B19" t="str">
            <v>RB-C-17099</v>
          </cell>
          <cell r="C19" t="str">
            <v/>
          </cell>
          <cell r="D19" t="str">
            <v>17099 Total: Marketable securities =&lt; 1 year</v>
          </cell>
          <cell r="E19">
            <v>11601775416.66</v>
          </cell>
        </row>
        <row r="20">
          <cell r="A20" t="str">
            <v>18101</v>
          </cell>
          <cell r="B20" t="str">
            <v>RB-C-18101</v>
          </cell>
          <cell r="C20" t="str">
            <v/>
          </cell>
          <cell r="D20" t="str">
            <v>18101 Bank balances &gt; 90 days =&lt; 1 year</v>
          </cell>
          <cell r="E20">
            <v>12338405702</v>
          </cell>
        </row>
        <row r="21">
          <cell r="A21" t="str">
            <v>1825C</v>
          </cell>
          <cell r="B21" t="str">
            <v>RB-C-1825C</v>
          </cell>
          <cell r="C21" t="str">
            <v/>
          </cell>
          <cell r="D21" t="str">
            <v/>
          </cell>
          <cell r="E21">
            <v>11793334.41</v>
          </cell>
        </row>
        <row r="22">
          <cell r="A22" t="str">
            <v>1825D</v>
          </cell>
          <cell r="B22" t="str">
            <v>RB-C-1825D</v>
          </cell>
          <cell r="C22" t="str">
            <v/>
          </cell>
          <cell r="D22" t="str">
            <v/>
          </cell>
          <cell r="E22">
            <v>-117933</v>
          </cell>
        </row>
        <row r="23">
          <cell r="A23" t="str">
            <v>18215</v>
          </cell>
          <cell r="B23" t="str">
            <v>RB-C-18215</v>
          </cell>
          <cell r="C23" t="str">
            <v/>
          </cell>
          <cell r="D23" t="str">
            <v>18215 Loans =&lt; 1 year - employees</v>
          </cell>
          <cell r="E23">
            <v>11675401.41</v>
          </cell>
        </row>
        <row r="24">
          <cell r="A24" t="str">
            <v>18220</v>
          </cell>
          <cell r="B24" t="str">
            <v>RB-C-18220</v>
          </cell>
          <cell r="C24" t="str">
            <v/>
          </cell>
          <cell r="D24" t="str">
            <v>18220 Loans =&lt; 1 year - K</v>
          </cell>
          <cell r="E24">
            <v>1813902000</v>
          </cell>
        </row>
        <row r="25">
          <cell r="A25" t="str">
            <v>18299</v>
          </cell>
          <cell r="B25" t="str">
            <v>RB-C-18299</v>
          </cell>
          <cell r="C25" t="str">
            <v/>
          </cell>
          <cell r="D25" t="str">
            <v>18299 Total: Loans =&lt; 1 year</v>
          </cell>
          <cell r="E25">
            <v>1825577401.4100001</v>
          </cell>
        </row>
        <row r="26">
          <cell r="A26" t="str">
            <v>1860C</v>
          </cell>
          <cell r="B26" t="str">
            <v>RB-C-1860C</v>
          </cell>
          <cell r="C26" t="str">
            <v/>
          </cell>
          <cell r="D26" t="str">
            <v/>
          </cell>
          <cell r="E26">
            <v>6.61</v>
          </cell>
        </row>
        <row r="27">
          <cell r="A27" t="str">
            <v>1860D</v>
          </cell>
          <cell r="B27" t="str">
            <v>RB-C-1860D</v>
          </cell>
          <cell r="C27" t="str">
            <v/>
          </cell>
          <cell r="D27" t="str">
            <v/>
          </cell>
          <cell r="E27">
            <v>0.01</v>
          </cell>
        </row>
        <row r="28">
          <cell r="A28" t="str">
            <v>18600</v>
          </cell>
          <cell r="B28" t="str">
            <v>RB-C-18600</v>
          </cell>
          <cell r="C28" t="str">
            <v/>
          </cell>
          <cell r="D28" t="str">
            <v>18600 Receiv. f. fin. lease (lessor) =&lt; 1y</v>
          </cell>
          <cell r="E28">
            <v>6.62</v>
          </cell>
        </row>
        <row r="29">
          <cell r="A29" t="str">
            <v>18603</v>
          </cell>
          <cell r="B29" t="str">
            <v>RB-C-18603</v>
          </cell>
          <cell r="C29" t="str">
            <v/>
          </cell>
          <cell r="D29" t="str">
            <v>18603 Derivatives w/o hedge &lt;= 1 y - 3rd</v>
          </cell>
          <cell r="E29">
            <v>252393768</v>
          </cell>
        </row>
        <row r="30">
          <cell r="A30" t="str">
            <v>18516</v>
          </cell>
          <cell r="B30" t="str">
            <v>RB-C-18516</v>
          </cell>
          <cell r="C30" t="str">
            <v/>
          </cell>
          <cell r="D30" t="str">
            <v>18516 Fin. receivab. board members, empl =&lt;1y</v>
          </cell>
          <cell r="E30">
            <v>236003566.03999999</v>
          </cell>
        </row>
        <row r="31">
          <cell r="A31" t="str">
            <v>1861G</v>
          </cell>
          <cell r="B31" t="str">
            <v>RB-C-1861G</v>
          </cell>
          <cell r="C31" t="str">
            <v/>
          </cell>
          <cell r="D31" t="str">
            <v/>
          </cell>
          <cell r="E31">
            <v>212341603.81</v>
          </cell>
        </row>
        <row r="32">
          <cell r="A32" t="str">
            <v>1861H</v>
          </cell>
          <cell r="B32" t="str">
            <v>RB-C-1861H</v>
          </cell>
          <cell r="C32" t="str">
            <v/>
          </cell>
          <cell r="D32" t="str">
            <v/>
          </cell>
          <cell r="E32">
            <v>-1443032</v>
          </cell>
        </row>
        <row r="33">
          <cell r="A33" t="str">
            <v>18616</v>
          </cell>
          <cell r="B33" t="str">
            <v>RB-C-18616</v>
          </cell>
          <cell r="C33" t="str">
            <v/>
          </cell>
          <cell r="D33" t="str">
            <v>18616 Other financial receivables&lt;1 year, 3rd</v>
          </cell>
          <cell r="E33">
            <v>210898571.81</v>
          </cell>
        </row>
        <row r="34">
          <cell r="A34" t="str">
            <v>18624</v>
          </cell>
          <cell r="B34" t="str">
            <v>RB-C-18624</v>
          </cell>
          <cell r="C34" t="str">
            <v/>
          </cell>
          <cell r="D34" t="str">
            <v>18624 Creditors with debit balances K</v>
          </cell>
          <cell r="E34">
            <v>11142113</v>
          </cell>
        </row>
        <row r="35">
          <cell r="A35" t="str">
            <v>18625</v>
          </cell>
          <cell r="B35" t="str">
            <v>RB-C-18625</v>
          </cell>
          <cell r="C35" t="str">
            <v/>
          </cell>
          <cell r="D35" t="str">
            <v>18625 Receivables accrued interest - K</v>
          </cell>
          <cell r="E35">
            <v>119086.89</v>
          </cell>
        </row>
        <row r="36">
          <cell r="A36" t="str">
            <v>18644</v>
          </cell>
          <cell r="B36" t="str">
            <v>RB-C-18644</v>
          </cell>
          <cell r="C36" t="str">
            <v/>
          </cell>
          <cell r="D36" t="str">
            <v>18644 Creditors with debit balances N</v>
          </cell>
          <cell r="E36">
            <v>1731827.79</v>
          </cell>
        </row>
        <row r="37">
          <cell r="A37" t="str">
            <v>AC_FA</v>
          </cell>
          <cell r="B37" t="str">
            <v>RB-C-AC_FA</v>
          </cell>
          <cell r="C37" t="str">
            <v/>
          </cell>
          <cell r="D37" t="str">
            <v>Total AC_FA Total: Oth current financ. assets</v>
          </cell>
          <cell r="E37">
            <v>26478047460.220001</v>
          </cell>
        </row>
        <row r="38">
          <cell r="A38" t="str">
            <v>18510</v>
          </cell>
          <cell r="B38" t="str">
            <v>RB-C-18510</v>
          </cell>
          <cell r="C38" t="str">
            <v/>
          </cell>
          <cell r="D38" t="str">
            <v>18510 Income tax receivables &lt; 1 y</v>
          </cell>
          <cell r="E38">
            <v>1751744318.6199999</v>
          </cell>
        </row>
        <row r="39">
          <cell r="A39" t="str">
            <v>AC_IT</v>
          </cell>
          <cell r="B39" t="str">
            <v>RB-C-AC_IT</v>
          </cell>
          <cell r="C39" t="str">
            <v/>
          </cell>
          <cell r="D39" t="str">
            <v>Total AC_IT Total: Income tax receivables &lt;1y</v>
          </cell>
          <cell r="E39">
            <v>1751744318.6199999</v>
          </cell>
        </row>
        <row r="40">
          <cell r="A40" t="str">
            <v>18400</v>
          </cell>
          <cell r="B40" t="str">
            <v>RB-C-18400</v>
          </cell>
          <cell r="C40" t="str">
            <v/>
          </cell>
          <cell r="D40" t="str">
            <v>18400 Prepaid expenses - Th.p.,N, B-a,B-c,B-f</v>
          </cell>
          <cell r="E40">
            <v>138052693.50999999</v>
          </cell>
        </row>
        <row r="41">
          <cell r="A41" t="str">
            <v>1851A</v>
          </cell>
          <cell r="B41" t="str">
            <v>RB-C-1851A</v>
          </cell>
          <cell r="C41" t="str">
            <v/>
          </cell>
          <cell r="D41" t="str">
            <v/>
          </cell>
          <cell r="E41">
            <v>-4760708259.1499996</v>
          </cell>
        </row>
        <row r="42">
          <cell r="A42" t="str">
            <v>185DE</v>
          </cell>
          <cell r="B42" t="str">
            <v>RB-C-185DE</v>
          </cell>
          <cell r="C42" t="str">
            <v/>
          </cell>
          <cell r="D42" t="str">
            <v/>
          </cell>
          <cell r="E42">
            <v>26415075.879999999</v>
          </cell>
        </row>
        <row r="43">
          <cell r="A43" t="str">
            <v>185FR</v>
          </cell>
          <cell r="B43" t="str">
            <v>RB-C-185FR</v>
          </cell>
          <cell r="C43" t="str">
            <v/>
          </cell>
          <cell r="D43" t="str">
            <v/>
          </cell>
          <cell r="E43">
            <v>9075175.1099999994</v>
          </cell>
        </row>
        <row r="44">
          <cell r="A44" t="str">
            <v>185IN</v>
          </cell>
          <cell r="B44" t="str">
            <v>RB-C-185IN</v>
          </cell>
          <cell r="C44" t="str">
            <v/>
          </cell>
          <cell r="D44" t="str">
            <v/>
          </cell>
          <cell r="E44">
            <v>4728658466.1000004</v>
          </cell>
        </row>
        <row r="45">
          <cell r="A45" t="str">
            <v>185RU</v>
          </cell>
          <cell r="B45" t="str">
            <v>RB-C-185RU</v>
          </cell>
          <cell r="C45" t="str">
            <v/>
          </cell>
          <cell r="D45" t="str">
            <v/>
          </cell>
          <cell r="E45">
            <v>1272766.1200000001</v>
          </cell>
        </row>
        <row r="46">
          <cell r="A46" t="str">
            <v>18511</v>
          </cell>
          <cell r="B46" t="str">
            <v>RB-C-18511</v>
          </cell>
          <cell r="C46" t="str">
            <v/>
          </cell>
          <cell r="D46" t="str">
            <v>18511 Other tax receivables &lt; 1 y</v>
          </cell>
          <cell r="E46">
            <v>4713224.0599999996</v>
          </cell>
        </row>
        <row r="47">
          <cell r="A47" t="str">
            <v>18515</v>
          </cell>
          <cell r="B47" t="str">
            <v>RB-C-18515</v>
          </cell>
          <cell r="C47" t="str">
            <v/>
          </cell>
          <cell r="D47" t="str">
            <v>18515 Receivables f. board members, employees</v>
          </cell>
          <cell r="E47">
            <v>8138.41</v>
          </cell>
        </row>
        <row r="48">
          <cell r="A48" t="str">
            <v>18610</v>
          </cell>
          <cell r="B48" t="str">
            <v>RB-C-18610</v>
          </cell>
          <cell r="C48" t="str">
            <v/>
          </cell>
          <cell r="D48" t="str">
            <v>18610 Sundry other receivables &lt; 1 y - 3rd, B</v>
          </cell>
          <cell r="E48">
            <v>164455498.31</v>
          </cell>
        </row>
        <row r="49">
          <cell r="A49" t="str">
            <v>18618</v>
          </cell>
          <cell r="B49" t="str">
            <v>RB-C-18618</v>
          </cell>
          <cell r="C49" t="str">
            <v/>
          </cell>
          <cell r="D49" t="str">
            <v>18618 Down paym made for oth services-3rd,B-c</v>
          </cell>
          <cell r="E49">
            <v>286610846.16000003</v>
          </cell>
        </row>
        <row r="50">
          <cell r="A50" t="str">
            <v>1862C</v>
          </cell>
          <cell r="B50" t="str">
            <v>RB-C-1862C</v>
          </cell>
          <cell r="C50" t="str">
            <v/>
          </cell>
          <cell r="D50" t="str">
            <v>Total Capitalized Costs fulfil contract=&lt;1y N</v>
          </cell>
          <cell r="E50">
            <v>62449155.340000004</v>
          </cell>
        </row>
        <row r="51">
          <cell r="A51" t="str">
            <v>18623</v>
          </cell>
          <cell r="B51" t="str">
            <v>RB-C-18623</v>
          </cell>
          <cell r="C51" t="str">
            <v/>
          </cell>
          <cell r="D51" t="str">
            <v>Total 18623 Capitalized Costs fulfil contract</v>
          </cell>
          <cell r="E51">
            <v>62449155.340000004</v>
          </cell>
        </row>
        <row r="52">
          <cell r="A52" t="str">
            <v>AC_OA</v>
          </cell>
          <cell r="B52" t="str">
            <v>RB-C-AC_OA</v>
          </cell>
          <cell r="C52" t="str">
            <v/>
          </cell>
          <cell r="D52" t="str">
            <v>Total AC_OA Total: Other current assets</v>
          </cell>
          <cell r="E52">
            <v>656289555.78999996</v>
          </cell>
        </row>
        <row r="53">
          <cell r="A53" t="str">
            <v>1901G</v>
          </cell>
          <cell r="B53" t="str">
            <v>RB-C-1901G</v>
          </cell>
          <cell r="C53" t="str">
            <v/>
          </cell>
          <cell r="D53" t="str">
            <v>Total: Business Gross Value Merchandise</v>
          </cell>
          <cell r="E53">
            <v>95476314.310000002</v>
          </cell>
        </row>
        <row r="54">
          <cell r="A54" t="str">
            <v>1901H</v>
          </cell>
          <cell r="B54" t="str">
            <v>RB-C-1901H</v>
          </cell>
          <cell r="C54" t="str">
            <v/>
          </cell>
          <cell r="D54" t="str">
            <v>Total: Revaluation to IFRS Gross Value</v>
          </cell>
          <cell r="E54">
            <v>-4936378.5</v>
          </cell>
        </row>
        <row r="55">
          <cell r="A55" t="str">
            <v>1901C</v>
          </cell>
          <cell r="B55" t="str">
            <v>RB-C-1901C</v>
          </cell>
          <cell r="C55" t="str">
            <v/>
          </cell>
          <cell r="D55" t="str">
            <v>Total: IFRS gross value Merchandise</v>
          </cell>
          <cell r="E55">
            <v>90539935.810000002</v>
          </cell>
        </row>
        <row r="56">
          <cell r="A56" t="str">
            <v>1901F</v>
          </cell>
          <cell r="B56" t="str">
            <v>RB-C-1901F</v>
          </cell>
          <cell r="C56" t="str">
            <v/>
          </cell>
          <cell r="D56" t="str">
            <v>Total: Write-Down net realizable value</v>
          </cell>
          <cell r="E56">
            <v>-51878509</v>
          </cell>
        </row>
        <row r="57">
          <cell r="A57" t="str">
            <v>1901D</v>
          </cell>
          <cell r="B57" t="str">
            <v>RB-C-1901D</v>
          </cell>
          <cell r="C57" t="str">
            <v/>
          </cell>
          <cell r="D57" t="str">
            <v>Total: Write-Down Merchandise</v>
          </cell>
          <cell r="E57">
            <v>-51878509</v>
          </cell>
        </row>
        <row r="58">
          <cell r="A58" t="str">
            <v>19019</v>
          </cell>
          <cell r="B58" t="str">
            <v>RB-C-19019</v>
          </cell>
          <cell r="C58" t="str">
            <v/>
          </cell>
          <cell r="D58" t="str">
            <v>19019 Total: IFRS BS Value Merchandise</v>
          </cell>
          <cell r="E58">
            <v>38661426.810000002</v>
          </cell>
        </row>
        <row r="59">
          <cell r="A59" t="str">
            <v>1903G</v>
          </cell>
          <cell r="B59" t="str">
            <v>RB-C-1903G</v>
          </cell>
          <cell r="C59" t="str">
            <v/>
          </cell>
          <cell r="D59" t="str">
            <v>Total: Business Gross Value Work in progress</v>
          </cell>
          <cell r="E59">
            <v>76042804.879999995</v>
          </cell>
        </row>
        <row r="60">
          <cell r="A60" t="str">
            <v>1903C</v>
          </cell>
          <cell r="B60" t="str">
            <v>RB-C-1903C</v>
          </cell>
          <cell r="C60" t="str">
            <v/>
          </cell>
          <cell r="D60" t="str">
            <v>Total: IFRS gross value Work in progress</v>
          </cell>
          <cell r="E60">
            <v>76042804.879999995</v>
          </cell>
        </row>
        <row r="61">
          <cell r="A61" t="str">
            <v>19039</v>
          </cell>
          <cell r="B61" t="str">
            <v>RB-C-19039</v>
          </cell>
          <cell r="C61" t="str">
            <v/>
          </cell>
          <cell r="D61" t="str">
            <v>19039 Total: IFRS BS Value Work in progress</v>
          </cell>
          <cell r="E61">
            <v>76042804.879999995</v>
          </cell>
        </row>
        <row r="62">
          <cell r="A62" t="str">
            <v>1904G</v>
          </cell>
          <cell r="B62" t="str">
            <v>RB-C-1904G</v>
          </cell>
          <cell r="C62" t="str">
            <v/>
          </cell>
          <cell r="D62" t="str">
            <v>Total: Business Gross Value Raw materials and</v>
          </cell>
          <cell r="E62">
            <v>94570765.400000006</v>
          </cell>
        </row>
        <row r="63">
          <cell r="A63" t="str">
            <v>1904C</v>
          </cell>
          <cell r="B63" t="str">
            <v>RB-C-1904C</v>
          </cell>
          <cell r="C63" t="str">
            <v/>
          </cell>
          <cell r="D63" t="str">
            <v>Total: IFRS gross value Raw materials and sup</v>
          </cell>
          <cell r="E63">
            <v>94570765.400000006</v>
          </cell>
        </row>
        <row r="64">
          <cell r="A64" t="str">
            <v>1904E</v>
          </cell>
          <cell r="B64" t="str">
            <v>RB-C-1904E</v>
          </cell>
          <cell r="C64" t="str">
            <v/>
          </cell>
          <cell r="D64" t="str">
            <v>Total: Write-Down scrap/obsolete</v>
          </cell>
          <cell r="E64">
            <v>-36458759</v>
          </cell>
        </row>
        <row r="65">
          <cell r="A65" t="str">
            <v>1904D</v>
          </cell>
          <cell r="B65" t="str">
            <v>RB-C-1904D</v>
          </cell>
          <cell r="C65" t="str">
            <v/>
          </cell>
          <cell r="D65" t="str">
            <v>Total: Write-Down Raw materials and supplies</v>
          </cell>
          <cell r="E65">
            <v>-36458759</v>
          </cell>
        </row>
        <row r="66">
          <cell r="A66" t="str">
            <v>19049</v>
          </cell>
          <cell r="B66" t="str">
            <v>RB-C-19049</v>
          </cell>
          <cell r="C66" t="str">
            <v/>
          </cell>
          <cell r="D66" t="str">
            <v>19049 Total: IFRS BS Value Raw mat. and suppl</v>
          </cell>
          <cell r="E66">
            <v>58112006.399999999</v>
          </cell>
        </row>
        <row r="67">
          <cell r="A67" t="str">
            <v>1905C</v>
          </cell>
          <cell r="B67" t="str">
            <v>RB-C-1905C</v>
          </cell>
          <cell r="C67" t="str">
            <v/>
          </cell>
          <cell r="D67" t="str">
            <v>Total: IFRS Gross Value Prepayments Third P.</v>
          </cell>
          <cell r="E67">
            <v>-0.26</v>
          </cell>
        </row>
        <row r="68">
          <cell r="A68" t="str">
            <v>19055</v>
          </cell>
          <cell r="B68" t="str">
            <v>RB-C-19055</v>
          </cell>
          <cell r="C68" t="str">
            <v/>
          </cell>
          <cell r="D68" t="str">
            <v>19055 Prepayments - Third p., N, B-a,B-c,B-f</v>
          </cell>
          <cell r="E68">
            <v>-0.26</v>
          </cell>
        </row>
        <row r="69">
          <cell r="A69" t="str">
            <v>19059</v>
          </cell>
          <cell r="B69" t="str">
            <v>RB-C-19059</v>
          </cell>
          <cell r="C69" t="str">
            <v/>
          </cell>
          <cell r="D69" t="str">
            <v>19059 Total: IFRS BS Value Prepayments</v>
          </cell>
          <cell r="E69">
            <v>-0.26</v>
          </cell>
        </row>
        <row r="70">
          <cell r="A70" t="str">
            <v>AC_IV</v>
          </cell>
          <cell r="B70" t="str">
            <v>RB-C-AC_IV</v>
          </cell>
          <cell r="C70" t="str">
            <v/>
          </cell>
          <cell r="D70" t="str">
            <v>Total AC_IV Total: Inventories</v>
          </cell>
          <cell r="E70">
            <v>172816237.83000001</v>
          </cell>
        </row>
        <row r="71">
          <cell r="A71" t="str">
            <v>AC_TO</v>
          </cell>
          <cell r="B71" t="str">
            <v>RB-C-AC_TO</v>
          </cell>
          <cell r="C71" t="str">
            <v/>
          </cell>
          <cell r="D71" t="str">
            <v>Total AC_TO Total: Current assets</v>
          </cell>
          <cell r="E71">
            <v>51845011824.010002</v>
          </cell>
        </row>
        <row r="72">
          <cell r="A72" t="str">
            <v>1430C</v>
          </cell>
          <cell r="B72" t="str">
            <v>RB-C-1430C</v>
          </cell>
          <cell r="C72" t="str">
            <v/>
          </cell>
          <cell r="D72" t="str">
            <v>Costs</v>
          </cell>
          <cell r="E72">
            <v>14545884675</v>
          </cell>
        </row>
        <row r="73">
          <cell r="A73" t="str">
            <v>14300</v>
          </cell>
          <cell r="B73" t="str">
            <v>RB-C-14300</v>
          </cell>
          <cell r="C73" t="str">
            <v/>
          </cell>
          <cell r="D73" t="str">
            <v>14300 Investments - K</v>
          </cell>
          <cell r="E73">
            <v>14545884675</v>
          </cell>
        </row>
        <row r="74">
          <cell r="A74" t="str">
            <v>1436D</v>
          </cell>
          <cell r="B74" t="str">
            <v>RB-C-1436D</v>
          </cell>
          <cell r="C74" t="str">
            <v/>
          </cell>
          <cell r="D74" t="str">
            <v>Accumulated Depreciation</v>
          </cell>
          <cell r="E74">
            <v>31762578</v>
          </cell>
        </row>
        <row r="75">
          <cell r="A75" t="str">
            <v>14360</v>
          </cell>
          <cell r="B75" t="str">
            <v>RB-C-14360</v>
          </cell>
          <cell r="C75" t="str">
            <v/>
          </cell>
          <cell r="D75" t="str">
            <v>14360 Investments - B-c FVOCI nR</v>
          </cell>
          <cell r="E75">
            <v>31762578</v>
          </cell>
        </row>
        <row r="76">
          <cell r="A76" t="str">
            <v>AN_IN</v>
          </cell>
          <cell r="B76" t="str">
            <v>RB-C-AN_IN</v>
          </cell>
          <cell r="C76" t="str">
            <v/>
          </cell>
          <cell r="D76" t="str">
            <v>AN_IN Total: Investments (wo B-a)</v>
          </cell>
          <cell r="E76">
            <v>14577647253</v>
          </cell>
        </row>
        <row r="77">
          <cell r="A77" t="str">
            <v>1521E</v>
          </cell>
          <cell r="B77" t="str">
            <v>RB-C-1521E</v>
          </cell>
          <cell r="C77" t="str">
            <v/>
          </cell>
          <cell r="D77" t="str">
            <v/>
          </cell>
          <cell r="E77">
            <v>322983329.27999997</v>
          </cell>
        </row>
        <row r="78">
          <cell r="A78" t="str">
            <v>15210</v>
          </cell>
          <cell r="B78" t="str">
            <v>RB-C-15210</v>
          </cell>
          <cell r="C78" t="str">
            <v/>
          </cell>
          <cell r="D78" t="str">
            <v>15210 Loans &gt; 1 year - Third parties, B-c,B-f</v>
          </cell>
          <cell r="E78">
            <v>322983329.27999997</v>
          </cell>
        </row>
        <row r="79">
          <cell r="A79" t="str">
            <v>1521C</v>
          </cell>
          <cell r="B79" t="str">
            <v>RB-C-1521C</v>
          </cell>
          <cell r="C79" t="str">
            <v/>
          </cell>
          <cell r="D79" t="str">
            <v/>
          </cell>
          <cell r="E79">
            <v>72298388</v>
          </cell>
        </row>
        <row r="80">
          <cell r="A80" t="str">
            <v>1521D</v>
          </cell>
          <cell r="B80" t="str">
            <v>RB-C-1521D</v>
          </cell>
          <cell r="C80" t="str">
            <v/>
          </cell>
          <cell r="D80" t="str">
            <v/>
          </cell>
          <cell r="E80">
            <v>-1445968</v>
          </cell>
        </row>
        <row r="81">
          <cell r="A81" t="str">
            <v>15215</v>
          </cell>
          <cell r="B81" t="str">
            <v>RB-C-15215</v>
          </cell>
          <cell r="C81" t="str">
            <v/>
          </cell>
          <cell r="D81" t="str">
            <v>15215 Loans &gt; 1 year - employees</v>
          </cell>
          <cell r="E81">
            <v>70852420</v>
          </cell>
        </row>
        <row r="82">
          <cell r="A82" t="str">
            <v>15289</v>
          </cell>
          <cell r="B82" t="str">
            <v>RB-C-15289</v>
          </cell>
          <cell r="C82" t="str">
            <v/>
          </cell>
          <cell r="D82" t="str">
            <v>15289 Total: Loans &gt; 1 year</v>
          </cell>
          <cell r="E82">
            <v>393835749.27999997</v>
          </cell>
        </row>
        <row r="83">
          <cell r="A83" t="str">
            <v>1530D</v>
          </cell>
          <cell r="B83" t="str">
            <v>RB-C-1530D</v>
          </cell>
          <cell r="C83" t="str">
            <v/>
          </cell>
          <cell r="D83" t="str">
            <v/>
          </cell>
          <cell r="E83">
            <v>-0.01</v>
          </cell>
        </row>
        <row r="84">
          <cell r="A84" t="str">
            <v>15305</v>
          </cell>
          <cell r="B84" t="str">
            <v>RB-C-15305</v>
          </cell>
          <cell r="C84" t="str">
            <v/>
          </cell>
          <cell r="D84" t="str">
            <v>15305 Receiv. f. fin. lease (lessor) &gt; 1 year</v>
          </cell>
          <cell r="E84">
            <v>-0.01</v>
          </cell>
        </row>
        <row r="85">
          <cell r="A85" t="str">
            <v>1531E</v>
          </cell>
          <cell r="B85" t="str">
            <v>RB-C-1531E</v>
          </cell>
          <cell r="C85" t="str">
            <v/>
          </cell>
          <cell r="D85" t="str">
            <v/>
          </cell>
          <cell r="E85">
            <v>1660348018</v>
          </cell>
        </row>
        <row r="86">
          <cell r="A86" t="str">
            <v>1531F</v>
          </cell>
          <cell r="B86" t="str">
            <v>RB-C-1531F</v>
          </cell>
          <cell r="C86" t="str">
            <v/>
          </cell>
          <cell r="D86" t="str">
            <v/>
          </cell>
          <cell r="E86">
            <v>-33206960</v>
          </cell>
        </row>
        <row r="87">
          <cell r="A87" t="str">
            <v>15312</v>
          </cell>
          <cell r="B87" t="str">
            <v>RB-C-15312</v>
          </cell>
          <cell r="C87" t="str">
            <v/>
          </cell>
          <cell r="D87" t="str">
            <v>15312 Other financial receivables &gt;1 year th.</v>
          </cell>
          <cell r="E87">
            <v>1627141058</v>
          </cell>
        </row>
        <row r="88">
          <cell r="A88" t="str">
            <v>AN_FA</v>
          </cell>
          <cell r="B88" t="str">
            <v>RB-C-AN_FA</v>
          </cell>
          <cell r="C88" t="str">
            <v/>
          </cell>
          <cell r="D88" t="str">
            <v>Total AN_FA Total: Oth non-curr fin assets&gt;1y</v>
          </cell>
          <cell r="E88">
            <v>16598624060.27</v>
          </cell>
        </row>
        <row r="89">
          <cell r="A89" t="str">
            <v>1200C</v>
          </cell>
          <cell r="B89" t="str">
            <v>RB-C-1200C</v>
          </cell>
          <cell r="C89" t="str">
            <v/>
          </cell>
          <cell r="D89" t="str">
            <v>Costs</v>
          </cell>
          <cell r="E89">
            <v>3487348869.8600001</v>
          </cell>
        </row>
        <row r="90">
          <cell r="A90" t="str">
            <v>1200D</v>
          </cell>
          <cell r="B90" t="str">
            <v>RB-C-1200D</v>
          </cell>
          <cell r="C90" t="str">
            <v/>
          </cell>
          <cell r="D90" t="str">
            <v>Accumulated Depreciation</v>
          </cell>
          <cell r="E90">
            <v>-1662013796.49</v>
          </cell>
        </row>
        <row r="91">
          <cell r="A91" t="str">
            <v>12000</v>
          </cell>
          <cell r="B91" t="str">
            <v>RB-C-12000</v>
          </cell>
          <cell r="C91" t="str">
            <v/>
          </cell>
          <cell r="D91" t="str">
            <v>12000 Land, land rights and buildings</v>
          </cell>
          <cell r="E91">
            <v>1825335073.3699999</v>
          </cell>
        </row>
        <row r="92">
          <cell r="A92" t="str">
            <v>1202C</v>
          </cell>
          <cell r="B92" t="str">
            <v>RB-C-1202C</v>
          </cell>
          <cell r="C92" t="str">
            <v/>
          </cell>
          <cell r="D92" t="str">
            <v>Costs</v>
          </cell>
          <cell r="E92">
            <v>4728349253.9499998</v>
          </cell>
        </row>
        <row r="93">
          <cell r="A93" t="str">
            <v>1202D</v>
          </cell>
          <cell r="B93" t="str">
            <v>RB-C-1202D</v>
          </cell>
          <cell r="C93" t="str">
            <v/>
          </cell>
          <cell r="D93" t="str">
            <v>Accumulated Depreciation</v>
          </cell>
          <cell r="E93">
            <v>-2203519871.3600001</v>
          </cell>
        </row>
        <row r="94">
          <cell r="A94" t="str">
            <v>12020</v>
          </cell>
          <cell r="B94" t="str">
            <v>RB-C-12020</v>
          </cell>
          <cell r="C94" t="str">
            <v/>
          </cell>
          <cell r="D94" t="str">
            <v>12020 Technical plant and equipment</v>
          </cell>
          <cell r="E94">
            <v>2524829382.5900002</v>
          </cell>
        </row>
        <row r="95">
          <cell r="A95" t="str">
            <v>1203C</v>
          </cell>
          <cell r="B95" t="str">
            <v>RB-C-1203C</v>
          </cell>
          <cell r="C95" t="str">
            <v/>
          </cell>
          <cell r="D95" t="str">
            <v>Costs</v>
          </cell>
          <cell r="E95">
            <v>18926959656.73</v>
          </cell>
        </row>
        <row r="96">
          <cell r="A96" t="str">
            <v>1203D</v>
          </cell>
          <cell r="B96" t="str">
            <v>RB-C-1203D</v>
          </cell>
          <cell r="C96" t="str">
            <v/>
          </cell>
          <cell r="D96" t="str">
            <v>Accumulated Depreciation</v>
          </cell>
          <cell r="E96">
            <v>-12934253872.09</v>
          </cell>
        </row>
        <row r="97">
          <cell r="A97" t="str">
            <v>12030</v>
          </cell>
          <cell r="B97" t="str">
            <v>RB-C-12030</v>
          </cell>
          <cell r="C97" t="str">
            <v/>
          </cell>
          <cell r="D97" t="str">
            <v>12030 Other, office and operating equipment</v>
          </cell>
          <cell r="E97">
            <v>5992705784.6400003</v>
          </cell>
        </row>
        <row r="98">
          <cell r="A98" t="str">
            <v>1204C</v>
          </cell>
          <cell r="B98" t="str">
            <v>RB-C-1204C</v>
          </cell>
          <cell r="C98" t="str">
            <v/>
          </cell>
          <cell r="D98" t="str">
            <v>Costs</v>
          </cell>
          <cell r="E98">
            <v>26243980</v>
          </cell>
        </row>
        <row r="99">
          <cell r="A99" t="str">
            <v>12040</v>
          </cell>
          <cell r="B99" t="str">
            <v>RB-C-12040</v>
          </cell>
          <cell r="C99" t="str">
            <v/>
          </cell>
          <cell r="D99" t="str">
            <v>12040 Leased products (lessor, op. lease)</v>
          </cell>
          <cell r="E99">
            <v>26243980</v>
          </cell>
        </row>
        <row r="100">
          <cell r="A100" t="str">
            <v>1205C</v>
          </cell>
          <cell r="B100" t="str">
            <v>RB-C-1205C</v>
          </cell>
          <cell r="C100" t="str">
            <v/>
          </cell>
          <cell r="D100" t="str">
            <v>Costs</v>
          </cell>
          <cell r="E100">
            <v>641171201.69000006</v>
          </cell>
        </row>
        <row r="101">
          <cell r="A101" t="str">
            <v>12050</v>
          </cell>
          <cell r="B101" t="str">
            <v>RB-C-12050</v>
          </cell>
          <cell r="C101" t="str">
            <v/>
          </cell>
          <cell r="D101" t="str">
            <v>12050 Construction in progress</v>
          </cell>
          <cell r="E101">
            <v>641171201.69000006</v>
          </cell>
        </row>
        <row r="102">
          <cell r="A102" t="str">
            <v>1206C</v>
          </cell>
          <cell r="B102" t="str">
            <v>RB-C-1206C</v>
          </cell>
          <cell r="C102" t="str">
            <v/>
          </cell>
          <cell r="D102" t="str">
            <v>Costs</v>
          </cell>
          <cell r="E102">
            <v>5355991.33</v>
          </cell>
        </row>
        <row r="103">
          <cell r="A103" t="str">
            <v>12061</v>
          </cell>
          <cell r="B103" t="str">
            <v>RB-C-12061</v>
          </cell>
          <cell r="C103" t="str">
            <v/>
          </cell>
          <cell r="D103" t="str">
            <v>12061 Prepayments on plant and equip 3rd,B-a</v>
          </cell>
          <cell r="E103">
            <v>5355991.33</v>
          </cell>
        </row>
        <row r="104">
          <cell r="A104" t="str">
            <v>AN_TF</v>
          </cell>
          <cell r="B104" t="str">
            <v>RB-C-AN_TF</v>
          </cell>
          <cell r="C104" t="str">
            <v/>
          </cell>
          <cell r="D104" t="str">
            <v>Total AN_TF Total: Tangible fixed assets</v>
          </cell>
          <cell r="E104">
            <v>11015641413.620001</v>
          </cell>
        </row>
        <row r="105">
          <cell r="A105" t="str">
            <v>1300C</v>
          </cell>
          <cell r="B105" t="str">
            <v>RB-C-1300C</v>
          </cell>
          <cell r="C105" t="str">
            <v/>
          </cell>
          <cell r="D105" t="str">
            <v>Costs</v>
          </cell>
          <cell r="E105">
            <v>16892962185.73</v>
          </cell>
        </row>
        <row r="106">
          <cell r="A106" t="str">
            <v>1300D</v>
          </cell>
          <cell r="B106" t="str">
            <v>RB-C-1300D</v>
          </cell>
          <cell r="C106" t="str">
            <v/>
          </cell>
          <cell r="D106" t="str">
            <v>Accumulated Depreciation</v>
          </cell>
          <cell r="E106">
            <v>-8544521413.9200001</v>
          </cell>
        </row>
        <row r="107">
          <cell r="A107" t="str">
            <v>13000</v>
          </cell>
          <cell r="B107" t="str">
            <v>RB-C-13000</v>
          </cell>
          <cell r="C107" t="str">
            <v/>
          </cell>
          <cell r="D107" t="str">
            <v>13000 Leasing land, land rights and buildings</v>
          </cell>
          <cell r="E107">
            <v>8348440771.8100004</v>
          </cell>
        </row>
        <row r="108">
          <cell r="A108" t="str">
            <v>AN_RU</v>
          </cell>
          <cell r="B108" t="str">
            <v>RB-C-AN_RU</v>
          </cell>
          <cell r="C108" t="str">
            <v/>
          </cell>
          <cell r="D108" t="str">
            <v>Total AN_RU Total: Right-of-use assets leas.</v>
          </cell>
          <cell r="E108">
            <v>8348440771.8100004</v>
          </cell>
        </row>
        <row r="109">
          <cell r="A109" t="str">
            <v>1122C</v>
          </cell>
          <cell r="B109" t="str">
            <v>RB-C-1122C</v>
          </cell>
          <cell r="C109" t="str">
            <v/>
          </cell>
          <cell r="D109" t="str">
            <v>Costs</v>
          </cell>
          <cell r="E109">
            <v>866567373.84000003</v>
          </cell>
        </row>
        <row r="110">
          <cell r="A110" t="str">
            <v>1122D</v>
          </cell>
          <cell r="B110" t="str">
            <v>RB-C-1122D</v>
          </cell>
          <cell r="C110" t="str">
            <v/>
          </cell>
          <cell r="D110" t="str">
            <v>Accumulated Depreciation</v>
          </cell>
          <cell r="E110">
            <v>-860119085.58000004</v>
          </cell>
        </row>
        <row r="111">
          <cell r="A111" t="str">
            <v>11220</v>
          </cell>
          <cell r="B111" t="str">
            <v>RB-C-11220</v>
          </cell>
          <cell r="C111" t="str">
            <v/>
          </cell>
          <cell r="D111" t="str">
            <v>11220 Software, acquired</v>
          </cell>
          <cell r="E111">
            <v>6448288.2599999998</v>
          </cell>
        </row>
        <row r="112">
          <cell r="A112" t="str">
            <v>11299</v>
          </cell>
          <cell r="B112" t="str">
            <v>RB-C-11299</v>
          </cell>
          <cell r="C112" t="str">
            <v/>
          </cell>
          <cell r="D112" t="str">
            <v>11299 Total: Intangible assets, acquired</v>
          </cell>
          <cell r="E112">
            <v>6448288.2599999998</v>
          </cell>
        </row>
        <row r="113">
          <cell r="A113" t="str">
            <v>AN_IA</v>
          </cell>
          <cell r="B113" t="str">
            <v>RB-C-AN_IA</v>
          </cell>
          <cell r="C113" t="str">
            <v/>
          </cell>
          <cell r="D113" t="str">
            <v>Total AN_IA Total: Intangible assets</v>
          </cell>
          <cell r="E113">
            <v>6448288.2599999998</v>
          </cell>
        </row>
        <row r="114">
          <cell r="A114" t="str">
            <v>15310</v>
          </cell>
          <cell r="B114" t="str">
            <v>RB-C-15310</v>
          </cell>
          <cell r="C114" t="str">
            <v/>
          </cell>
          <cell r="D114" t="str">
            <v>15310 Other sundry receiv.&gt;1 y.-Th.p.,B-c,B-f</v>
          </cell>
          <cell r="E114">
            <v>0.31</v>
          </cell>
        </row>
        <row r="115">
          <cell r="A115" t="str">
            <v>15316</v>
          </cell>
          <cell r="B115" t="str">
            <v>RB-C-15316</v>
          </cell>
          <cell r="C115" t="str">
            <v/>
          </cell>
          <cell r="D115" t="str">
            <v>15316 Other tax receivables &gt; 1 year</v>
          </cell>
          <cell r="E115">
            <v>4745523309</v>
          </cell>
        </row>
        <row r="116">
          <cell r="A116" t="str">
            <v>AN_OA</v>
          </cell>
          <cell r="B116" t="str">
            <v>RB-C-AN_OA</v>
          </cell>
          <cell r="C116" t="str">
            <v/>
          </cell>
          <cell r="D116" t="str">
            <v>Total AN_OA Total: Other non-current assets</v>
          </cell>
          <cell r="E116">
            <v>4745523309.3100004</v>
          </cell>
        </row>
        <row r="117">
          <cell r="A117" t="str">
            <v>15600</v>
          </cell>
          <cell r="B117" t="str">
            <v>RB-C-15600</v>
          </cell>
          <cell r="C117" t="str">
            <v/>
          </cell>
          <cell r="D117" t="str">
            <v>15600 Deferred tax assets</v>
          </cell>
          <cell r="E117">
            <v>1456499794.9000001</v>
          </cell>
        </row>
        <row r="118">
          <cell r="A118" t="str">
            <v>AN_DT</v>
          </cell>
          <cell r="B118" t="str">
            <v>RB-C-AN_DT</v>
          </cell>
          <cell r="C118" t="str">
            <v/>
          </cell>
          <cell r="D118" t="str">
            <v>Total AN_DT Total: Deferred tax assets</v>
          </cell>
          <cell r="E118">
            <v>1456499794.9000001</v>
          </cell>
        </row>
        <row r="119">
          <cell r="A119" t="str">
            <v>AN_TO</v>
          </cell>
          <cell r="B119" t="str">
            <v>RB-C-AN_TO</v>
          </cell>
          <cell r="C119" t="str">
            <v/>
          </cell>
          <cell r="D119" t="str">
            <v>Total AN_TO Total: Non-current assets</v>
          </cell>
          <cell r="E119">
            <v>42171177638.169998</v>
          </cell>
        </row>
        <row r="120">
          <cell r="A120" t="str">
            <v>A_TOT</v>
          </cell>
          <cell r="B120" t="str">
            <v>RB-C-A_TOT</v>
          </cell>
          <cell r="C120" t="str">
            <v/>
          </cell>
          <cell r="D120" t="str">
            <v>Total A_TOT Total: Assets</v>
          </cell>
          <cell r="E120">
            <v>94016189462.179993</v>
          </cell>
        </row>
        <row r="121">
          <cell r="A121" t="str">
            <v>20100</v>
          </cell>
          <cell r="B121" t="str">
            <v>RB-C-20100</v>
          </cell>
          <cell r="C121" t="str">
            <v/>
          </cell>
          <cell r="D121" t="str">
            <v>20100 Trade payables  - Third parties,B-c,B-f</v>
          </cell>
          <cell r="E121">
            <v>-6316589877.4300003</v>
          </cell>
        </row>
        <row r="122">
          <cell r="A122" t="str">
            <v>2012I</v>
          </cell>
          <cell r="B122" t="str">
            <v>RB-C-2012I</v>
          </cell>
          <cell r="C122" t="str">
            <v/>
          </cell>
          <cell r="D122" t="str">
            <v>Trade payables - K - Intrasegment</v>
          </cell>
          <cell r="E122">
            <v>-2979044584.77</v>
          </cell>
        </row>
        <row r="123">
          <cell r="A123" t="str">
            <v>20120</v>
          </cell>
          <cell r="B123" t="str">
            <v>RB-C-20120</v>
          </cell>
          <cell r="C123" t="str">
            <v/>
          </cell>
          <cell r="D123" t="str">
            <v>20120 Trade payables - K</v>
          </cell>
          <cell r="E123">
            <v>-2979044584.77</v>
          </cell>
        </row>
        <row r="124">
          <cell r="A124" t="str">
            <v>2012L</v>
          </cell>
          <cell r="B124" t="str">
            <v>RB-C-2012L</v>
          </cell>
          <cell r="C124" t="str">
            <v/>
          </cell>
          <cell r="D124" t="str">
            <v/>
          </cell>
          <cell r="E124">
            <v>-128815167.81999999</v>
          </cell>
        </row>
        <row r="125">
          <cell r="A125" t="str">
            <v>20125</v>
          </cell>
          <cell r="B125" t="str">
            <v>RB-C-20125</v>
          </cell>
          <cell r="C125" t="str">
            <v/>
          </cell>
          <cell r="D125" t="str">
            <v/>
          </cell>
          <cell r="E125">
            <v>-128815167.81999999</v>
          </cell>
        </row>
        <row r="126">
          <cell r="A126" t="str">
            <v>20179</v>
          </cell>
          <cell r="B126" t="str">
            <v>RB-C-20179</v>
          </cell>
          <cell r="C126" t="str">
            <v/>
          </cell>
          <cell r="D126" t="str">
            <v>20179 Total: Trade payables</v>
          </cell>
          <cell r="E126">
            <v>-9424449630.0200005</v>
          </cell>
        </row>
        <row r="127">
          <cell r="A127" t="str">
            <v>LC_AP</v>
          </cell>
          <cell r="B127" t="str">
            <v>RB-C-LC_AP</v>
          </cell>
          <cell r="C127" t="str">
            <v/>
          </cell>
          <cell r="D127" t="str">
            <v>Total LC_AP Total:Trade payab. and notes pay.</v>
          </cell>
          <cell r="E127">
            <v>-9424449630.0200005</v>
          </cell>
        </row>
        <row r="128">
          <cell r="A128" t="str">
            <v>21500</v>
          </cell>
          <cell r="B128" t="str">
            <v>RB-C-21500</v>
          </cell>
          <cell r="C128" t="str">
            <v/>
          </cell>
          <cell r="D128" t="str">
            <v>21500 Lease liabilities (lessee) &lt; 1 y</v>
          </cell>
          <cell r="E128">
            <v>-1106615644.9000001</v>
          </cell>
        </row>
        <row r="129">
          <cell r="A129" t="str">
            <v>LC_LL</v>
          </cell>
          <cell r="B129" t="str">
            <v>RB-C-LC_LL</v>
          </cell>
          <cell r="C129" t="str">
            <v/>
          </cell>
          <cell r="D129" t="str">
            <v>Total LC_LL Lease liabilities (lessee) &lt; 1 y</v>
          </cell>
          <cell r="E129">
            <v>-1106615644.9000001</v>
          </cell>
        </row>
        <row r="130">
          <cell r="A130" t="str">
            <v>21305</v>
          </cell>
          <cell r="B130" t="str">
            <v>RB-C-21305</v>
          </cell>
          <cell r="C130" t="str">
            <v/>
          </cell>
          <cell r="D130" t="str">
            <v>21305 Derivatives w/o hedge &lt; 1 y - 3r</v>
          </cell>
          <cell r="E130">
            <v>-739162835.78999996</v>
          </cell>
        </row>
        <row r="131">
          <cell r="A131" t="str">
            <v>21318</v>
          </cell>
          <cell r="B131" t="str">
            <v>RB-C-21318</v>
          </cell>
          <cell r="C131" t="str">
            <v/>
          </cell>
          <cell r="D131" t="str">
            <v>21318 Other financial liabilities &lt; 1 year th</v>
          </cell>
          <cell r="E131">
            <v>-148976826.72999999</v>
          </cell>
        </row>
        <row r="132">
          <cell r="A132" t="str">
            <v>21324</v>
          </cell>
          <cell r="B132" t="str">
            <v>RB-C-21324</v>
          </cell>
          <cell r="C132" t="str">
            <v/>
          </cell>
          <cell r="D132" t="str">
            <v>21324 Debtors with credit balances K</v>
          </cell>
          <cell r="E132">
            <v>-37223401.259999998</v>
          </cell>
        </row>
        <row r="133">
          <cell r="A133" t="str">
            <v>21391</v>
          </cell>
          <cell r="B133" t="str">
            <v>RB-C-21391</v>
          </cell>
          <cell r="C133" t="str">
            <v/>
          </cell>
          <cell r="D133" t="str">
            <v>21391 Financial liabil. to board members, emp</v>
          </cell>
          <cell r="E133">
            <v>432462891.13999999</v>
          </cell>
        </row>
        <row r="134">
          <cell r="A134" t="str">
            <v>LC_FL</v>
          </cell>
          <cell r="B134" t="str">
            <v>RB-C-LC_FL</v>
          </cell>
          <cell r="C134" t="str">
            <v/>
          </cell>
          <cell r="D134" t="str">
            <v>Total LC_FL Total: Financial liabilities &lt; 1y</v>
          </cell>
          <cell r="E134">
            <v>-492900172.63999999</v>
          </cell>
        </row>
        <row r="135">
          <cell r="A135" t="str">
            <v>20200</v>
          </cell>
          <cell r="B135" t="str">
            <v>RB-C-20200</v>
          </cell>
          <cell r="C135" t="str">
            <v/>
          </cell>
          <cell r="D135" t="str">
            <v>20200 CL: Sales over time &lt; 1 y - 3rd, N, B-a</v>
          </cell>
          <cell r="E135">
            <v>-279536657</v>
          </cell>
        </row>
        <row r="136">
          <cell r="A136" t="str">
            <v>20210</v>
          </cell>
          <cell r="B136" t="str">
            <v>RB-C-20210</v>
          </cell>
          <cell r="C136" t="str">
            <v/>
          </cell>
          <cell r="D136" t="str">
            <v>20210 CL: Prepayment received&lt;1 yr 3rd,N, etc</v>
          </cell>
          <cell r="E136">
            <v>-525357459.20999998</v>
          </cell>
        </row>
        <row r="137">
          <cell r="A137" t="str">
            <v>20220</v>
          </cell>
          <cell r="B137" t="str">
            <v>RB-C-20220</v>
          </cell>
          <cell r="C137" t="str">
            <v/>
          </cell>
          <cell r="D137" t="str">
            <v>20220 CL: Prepayments received &lt;1 year K</v>
          </cell>
          <cell r="E137">
            <v>-1886953.88</v>
          </cell>
        </row>
        <row r="138">
          <cell r="A138" t="str">
            <v>LC_CL</v>
          </cell>
          <cell r="B138" t="str">
            <v>RB-C-LC_CL</v>
          </cell>
          <cell r="C138" t="str">
            <v/>
          </cell>
          <cell r="D138" t="str">
            <v>Total LC_CL Total: Ctr. liabilities (CL) &lt; 1y</v>
          </cell>
          <cell r="E138">
            <v>-806781070.09000003</v>
          </cell>
        </row>
        <row r="139">
          <cell r="A139" t="str">
            <v>21200</v>
          </cell>
          <cell r="B139" t="str">
            <v>RB-C-21200</v>
          </cell>
          <cell r="C139" t="str">
            <v/>
          </cell>
          <cell r="D139" t="str">
            <v>21200 Income tax liabilities</v>
          </cell>
          <cell r="E139">
            <v>0.39</v>
          </cell>
        </row>
        <row r="140">
          <cell r="A140" t="str">
            <v>LC_IT</v>
          </cell>
          <cell r="B140" t="str">
            <v>RB-C-LC_IT</v>
          </cell>
          <cell r="C140" t="str">
            <v/>
          </cell>
          <cell r="D140" t="str">
            <v>Total LC_IT Total: Income tax liabilities &lt;1y</v>
          </cell>
          <cell r="E140">
            <v>0.39</v>
          </cell>
        </row>
        <row r="141">
          <cell r="A141" t="str">
            <v>21005</v>
          </cell>
          <cell r="B141" t="str">
            <v>RB-C-21005</v>
          </cell>
          <cell r="C141" t="str">
            <v/>
          </cell>
          <cell r="D141" t="str">
            <v>21005 Ac.liab.: Bonuses, profit participation</v>
          </cell>
          <cell r="E141">
            <v>-9000824465</v>
          </cell>
        </row>
        <row r="142">
          <cell r="A142" t="str">
            <v>21015</v>
          </cell>
          <cell r="B142" t="str">
            <v>RB-C-21015</v>
          </cell>
          <cell r="C142" t="str">
            <v/>
          </cell>
          <cell r="D142" t="str">
            <v>21015 Ac.liab.: Personnel related, others</v>
          </cell>
          <cell r="E142">
            <v>-298644241</v>
          </cell>
        </row>
        <row r="143">
          <cell r="A143" t="str">
            <v>21119</v>
          </cell>
          <cell r="B143" t="str">
            <v>RB-C-21119</v>
          </cell>
          <cell r="C143" t="str">
            <v/>
          </cell>
          <cell r="D143" t="str">
            <v>21119 Total: Accrued liab. personnel related</v>
          </cell>
          <cell r="E143">
            <v>-9299468706</v>
          </cell>
        </row>
        <row r="144">
          <cell r="A144" t="str">
            <v>21144</v>
          </cell>
          <cell r="B144" t="str">
            <v>RB-C-21144</v>
          </cell>
          <cell r="C144" t="str">
            <v/>
          </cell>
          <cell r="D144" t="str">
            <v>21144 Ac.liab.: outstanding invoices</v>
          </cell>
          <cell r="E144">
            <v>-98467847</v>
          </cell>
        </row>
        <row r="145">
          <cell r="A145" t="str">
            <v>21179</v>
          </cell>
          <cell r="B145" t="str">
            <v>RB-C-21179</v>
          </cell>
          <cell r="C145" t="str">
            <v/>
          </cell>
          <cell r="D145" t="str">
            <v>21179 Total: Other accrued liabilities</v>
          </cell>
          <cell r="E145">
            <v>-98467847</v>
          </cell>
        </row>
        <row r="146">
          <cell r="A146" t="str">
            <v>21189</v>
          </cell>
          <cell r="B146" t="str">
            <v>RB-C-21189</v>
          </cell>
          <cell r="C146" t="str">
            <v/>
          </cell>
          <cell r="D146" t="str">
            <v>21189 Total: Accrued liabilities</v>
          </cell>
          <cell r="E146">
            <v>-9397936553</v>
          </cell>
        </row>
        <row r="147">
          <cell r="A147" t="str">
            <v>2121A</v>
          </cell>
          <cell r="B147" t="str">
            <v>RB-C-2121A</v>
          </cell>
          <cell r="C147" t="str">
            <v/>
          </cell>
          <cell r="D147" t="str">
            <v/>
          </cell>
          <cell r="E147">
            <v>-485879289.24000001</v>
          </cell>
        </row>
        <row r="148">
          <cell r="A148" t="str">
            <v>212GB</v>
          </cell>
          <cell r="B148" t="str">
            <v>RB-C-212GB</v>
          </cell>
          <cell r="C148" t="str">
            <v/>
          </cell>
          <cell r="D148" t="str">
            <v/>
          </cell>
          <cell r="E148">
            <v>-283961.01</v>
          </cell>
        </row>
        <row r="149">
          <cell r="A149" t="str">
            <v>212JP</v>
          </cell>
          <cell r="B149" t="str">
            <v>RB-C-212JP</v>
          </cell>
          <cell r="C149" t="str">
            <v/>
          </cell>
          <cell r="D149" t="str">
            <v/>
          </cell>
          <cell r="E149">
            <v>-25700681.98</v>
          </cell>
        </row>
        <row r="150">
          <cell r="A150" t="str">
            <v>21210</v>
          </cell>
          <cell r="B150" t="str">
            <v>RB-C-21210</v>
          </cell>
          <cell r="C150" t="str">
            <v/>
          </cell>
          <cell r="D150" t="str">
            <v>21210 Other tax liabilities</v>
          </cell>
          <cell r="E150">
            <v>-511863932.23000002</v>
          </cell>
        </row>
        <row r="151">
          <cell r="A151" t="str">
            <v>21310</v>
          </cell>
          <cell r="B151" t="str">
            <v>RB-C-21310</v>
          </cell>
          <cell r="C151" t="str">
            <v/>
          </cell>
          <cell r="D151" t="str">
            <v>21310 Oth.sundry liab. =&lt;1 y.-Th.p., B-c, B-f</v>
          </cell>
          <cell r="E151">
            <v>-557811793.80999994</v>
          </cell>
        </row>
        <row r="152">
          <cell r="A152" t="str">
            <v>21317</v>
          </cell>
          <cell r="B152" t="str">
            <v>RB-C-21317</v>
          </cell>
          <cell r="C152" t="str">
            <v/>
          </cell>
          <cell r="D152" t="str">
            <v>21317 Liabilities from social security</v>
          </cell>
          <cell r="E152">
            <v>3449383702.8899999</v>
          </cell>
        </row>
        <row r="153">
          <cell r="A153" t="str">
            <v>21390</v>
          </cell>
          <cell r="B153" t="str">
            <v>RB-C-21390</v>
          </cell>
          <cell r="C153" t="str">
            <v/>
          </cell>
          <cell r="D153" t="str">
            <v>21390 Liabil. to board memb., employees =&lt;1 y</v>
          </cell>
          <cell r="E153">
            <v>-874205901.67999995</v>
          </cell>
        </row>
        <row r="154">
          <cell r="A154" t="str">
            <v>LC_OL</v>
          </cell>
          <cell r="B154" t="str">
            <v>RB-C-LC_OL</v>
          </cell>
          <cell r="C154" t="str">
            <v/>
          </cell>
          <cell r="D154" t="str">
            <v>Total LC_OL Total: Other liabilities &lt; 1 y</v>
          </cell>
          <cell r="E154">
            <v>-7892434477.8299999</v>
          </cell>
        </row>
        <row r="155">
          <cell r="A155" t="str">
            <v>23305</v>
          </cell>
          <cell r="B155" t="str">
            <v>RB-C-23305</v>
          </cell>
          <cell r="C155" t="str">
            <v/>
          </cell>
          <cell r="D155" t="str">
            <v>23305 Prov. f. employee anniversaries current</v>
          </cell>
          <cell r="E155">
            <v>-173406925</v>
          </cell>
        </row>
        <row r="156">
          <cell r="A156" t="str">
            <v>23315</v>
          </cell>
          <cell r="B156" t="str">
            <v>RB-C-23315</v>
          </cell>
          <cell r="C156" t="str">
            <v/>
          </cell>
          <cell r="D156" t="str">
            <v>23315 Provisions for deferred hours current</v>
          </cell>
          <cell r="E156">
            <v>-941855911</v>
          </cell>
        </row>
        <row r="157">
          <cell r="A157" t="str">
            <v>23318</v>
          </cell>
          <cell r="B157" t="str">
            <v>RB-C-23318</v>
          </cell>
          <cell r="C157" t="str">
            <v/>
          </cell>
          <cell r="D157" t="str">
            <v>23318 Other personnel related prov. current</v>
          </cell>
          <cell r="E157">
            <v>-3245698003</v>
          </cell>
        </row>
        <row r="158">
          <cell r="A158" t="str">
            <v>23319</v>
          </cell>
          <cell r="B158" t="str">
            <v>RB-C-23319</v>
          </cell>
          <cell r="C158" t="str">
            <v/>
          </cell>
          <cell r="D158" t="str">
            <v>23319 Personnel related provisions &lt; 1 y</v>
          </cell>
          <cell r="E158">
            <v>-4360960839</v>
          </cell>
        </row>
        <row r="159">
          <cell r="A159" t="str">
            <v>23321</v>
          </cell>
          <cell r="B159" t="str">
            <v>RB-C-23321</v>
          </cell>
          <cell r="C159" t="str">
            <v/>
          </cell>
          <cell r="D159" t="str">
            <v>23321 Prov. for warr. comm. - general current</v>
          </cell>
          <cell r="E159">
            <v>-80022777.209999993</v>
          </cell>
        </row>
        <row r="160">
          <cell r="A160" t="str">
            <v>23339</v>
          </cell>
          <cell r="B160" t="str">
            <v>RB-C-23339</v>
          </cell>
          <cell r="C160" t="str">
            <v/>
          </cell>
          <cell r="D160" t="str">
            <v>23339 Sales related provisions &lt; 1 y</v>
          </cell>
          <cell r="E160">
            <v>-80022777.209999993</v>
          </cell>
        </row>
        <row r="161">
          <cell r="A161" t="str">
            <v>23340</v>
          </cell>
          <cell r="B161" t="str">
            <v>RB-C-23340</v>
          </cell>
          <cell r="C161" t="str">
            <v/>
          </cell>
          <cell r="D161" t="str">
            <v>23340 Prov. f. losses f. purch. agreem. curr.</v>
          </cell>
          <cell r="E161">
            <v>-121202619</v>
          </cell>
        </row>
        <row r="162">
          <cell r="A162" t="str">
            <v>23368</v>
          </cell>
          <cell r="B162" t="str">
            <v>RB-C-23368</v>
          </cell>
          <cell r="C162" t="str">
            <v/>
          </cell>
          <cell r="D162" t="str">
            <v>23368 Prov. for tax penalties</v>
          </cell>
          <cell r="E162">
            <v>-1781933553</v>
          </cell>
        </row>
        <row r="163">
          <cell r="A163" t="str">
            <v>23369</v>
          </cell>
          <cell r="B163" t="str">
            <v>RB-C-23369</v>
          </cell>
          <cell r="C163" t="str">
            <v/>
          </cell>
          <cell r="D163" t="str">
            <v>23369 Sundry other provisions &lt; 1 y</v>
          </cell>
          <cell r="E163">
            <v>-1903136172</v>
          </cell>
        </row>
        <row r="164">
          <cell r="A164" t="str">
            <v>LC_PR</v>
          </cell>
          <cell r="B164" t="str">
            <v>RB-C-LC_PR</v>
          </cell>
          <cell r="C164" t="str">
            <v/>
          </cell>
          <cell r="D164" t="str">
            <v>Total LC_PR Total: Current provisions</v>
          </cell>
          <cell r="E164">
            <v>-6344119788.21</v>
          </cell>
        </row>
        <row r="165">
          <cell r="A165" t="str">
            <v>LC_TO</v>
          </cell>
          <cell r="B165" t="str">
            <v>RB-C-LC_TO</v>
          </cell>
          <cell r="C165" t="str">
            <v/>
          </cell>
          <cell r="D165" t="str">
            <v>Total LC_TO Total: Current liabilities</v>
          </cell>
          <cell r="E165">
            <v>-26067300783.299999</v>
          </cell>
        </row>
        <row r="166">
          <cell r="A166" t="str">
            <v>24500</v>
          </cell>
          <cell r="B166" t="str">
            <v>RB-C-24500</v>
          </cell>
          <cell r="C166" t="str">
            <v/>
          </cell>
          <cell r="D166" t="str">
            <v>24500 Lease liabilities (lessee) &gt; 1 y</v>
          </cell>
          <cell r="E166">
            <v>-8282791658</v>
          </cell>
        </row>
        <row r="167">
          <cell r="A167" t="str">
            <v>LN_LL</v>
          </cell>
          <cell r="B167" t="str">
            <v>RB-C-LN_LL</v>
          </cell>
          <cell r="C167" t="str">
            <v/>
          </cell>
          <cell r="D167" t="str">
            <v>Total LN_LL Total: Lease liab.(lessee)&gt;1y</v>
          </cell>
          <cell r="E167">
            <v>-8282791658</v>
          </cell>
        </row>
        <row r="168">
          <cell r="A168" t="str">
            <v>24380</v>
          </cell>
          <cell r="B168" t="str">
            <v>RB-C-24380</v>
          </cell>
          <cell r="C168" t="str">
            <v/>
          </cell>
          <cell r="D168" t="str">
            <v>24380 Liabil. to board memb.,employees &gt; 1 y.</v>
          </cell>
          <cell r="E168">
            <v>-227971522</v>
          </cell>
        </row>
        <row r="169">
          <cell r="A169" t="str">
            <v>LN_OL</v>
          </cell>
          <cell r="B169" t="str">
            <v>RB-C-LN_OL</v>
          </cell>
          <cell r="C169" t="str">
            <v/>
          </cell>
          <cell r="D169" t="str">
            <v>Total LN_OL Total: Other Liabilities &gt; 1 y</v>
          </cell>
          <cell r="E169">
            <v>-227971522</v>
          </cell>
        </row>
        <row r="170">
          <cell r="A170" t="str">
            <v>24060</v>
          </cell>
          <cell r="B170" t="str">
            <v>RB-C-24060</v>
          </cell>
          <cell r="C170" t="str">
            <v/>
          </cell>
          <cell r="D170" t="str">
            <v>24060 Provisions for pensions, similar oblig.</v>
          </cell>
          <cell r="E170">
            <v>-6407654301.9300003</v>
          </cell>
        </row>
        <row r="171">
          <cell r="A171" t="str">
            <v>LN_PP</v>
          </cell>
          <cell r="B171" t="str">
            <v>RB-C-LN_PP</v>
          </cell>
          <cell r="C171" t="str">
            <v/>
          </cell>
          <cell r="D171" t="str">
            <v>Total LN_PP Total: Provisions for pensions</v>
          </cell>
          <cell r="E171">
            <v>-6407654301.9300003</v>
          </cell>
        </row>
        <row r="172">
          <cell r="A172" t="str">
            <v>27050</v>
          </cell>
          <cell r="B172" t="str">
            <v>RB-C-27050</v>
          </cell>
          <cell r="C172" t="str">
            <v/>
          </cell>
          <cell r="D172" t="str">
            <v>27050 Income tax provisions &gt; 1 y</v>
          </cell>
          <cell r="E172">
            <v>0.44</v>
          </cell>
        </row>
        <row r="173">
          <cell r="A173" t="str">
            <v>LN_TP</v>
          </cell>
          <cell r="B173" t="str">
            <v>RB-C-LN_TP</v>
          </cell>
          <cell r="C173" t="str">
            <v/>
          </cell>
          <cell r="D173" t="str">
            <v>Total LN_TP Total: Income tax provisions &gt; 1y</v>
          </cell>
          <cell r="E173">
            <v>0.44</v>
          </cell>
        </row>
        <row r="174">
          <cell r="A174" t="str">
            <v>27105</v>
          </cell>
          <cell r="B174" t="str">
            <v>RB-C-27105</v>
          </cell>
          <cell r="C174" t="str">
            <v/>
          </cell>
          <cell r="D174" t="str">
            <v>27105 Prov. f. employ.anniversaries non curr.</v>
          </cell>
          <cell r="E174">
            <v>-2116817426.99</v>
          </cell>
        </row>
        <row r="175">
          <cell r="A175" t="str">
            <v>27115</v>
          </cell>
          <cell r="B175" t="str">
            <v>RB-C-27115</v>
          </cell>
          <cell r="C175" t="str">
            <v/>
          </cell>
          <cell r="D175" t="str">
            <v>27115 Provisions for deferred hours non curr.</v>
          </cell>
          <cell r="E175">
            <v>-6080923449.9899998</v>
          </cell>
        </row>
        <row r="176">
          <cell r="A176" t="str">
            <v>27118</v>
          </cell>
          <cell r="B176" t="str">
            <v>RB-C-27118</v>
          </cell>
          <cell r="C176" t="str">
            <v/>
          </cell>
          <cell r="D176" t="str">
            <v>27118 Other personnel related prov. non curr.</v>
          </cell>
          <cell r="E176">
            <v>-407492576</v>
          </cell>
        </row>
        <row r="177">
          <cell r="A177" t="str">
            <v>27119</v>
          </cell>
          <cell r="B177" t="str">
            <v>RB-C-27119</v>
          </cell>
          <cell r="C177" t="str">
            <v/>
          </cell>
          <cell r="D177" t="str">
            <v>27119 Personnel related provisions &gt; 1 y</v>
          </cell>
          <cell r="E177">
            <v>-8605233452.9799995</v>
          </cell>
        </row>
        <row r="178">
          <cell r="A178" t="str">
            <v>LN_PR</v>
          </cell>
          <cell r="B178" t="str">
            <v>RB-C-LN_PR</v>
          </cell>
          <cell r="C178" t="str">
            <v/>
          </cell>
          <cell r="D178" t="str">
            <v>Total LN_PR Total: Non-current provisions</v>
          </cell>
          <cell r="E178">
            <v>-8605233452.9799995</v>
          </cell>
        </row>
        <row r="179">
          <cell r="A179" t="str">
            <v>LN_TO</v>
          </cell>
          <cell r="B179" t="str">
            <v>RB-C-LN_TO</v>
          </cell>
          <cell r="C179" t="str">
            <v/>
          </cell>
          <cell r="D179" t="str">
            <v>Total LN_TO Total: Non-current liabilities</v>
          </cell>
          <cell r="E179">
            <v>-23523650934.470001</v>
          </cell>
        </row>
        <row r="180">
          <cell r="A180" t="str">
            <v>29000</v>
          </cell>
          <cell r="B180" t="str">
            <v>RB-C-29000</v>
          </cell>
          <cell r="C180" t="str">
            <v/>
          </cell>
          <cell r="D180" t="str">
            <v>29000 Subscribed capital</v>
          </cell>
          <cell r="E180">
            <v>-41597800</v>
          </cell>
        </row>
        <row r="181">
          <cell r="A181" t="str">
            <v>29305</v>
          </cell>
          <cell r="B181" t="str">
            <v>RB-C-29305</v>
          </cell>
          <cell r="C181" t="str">
            <v/>
          </cell>
          <cell r="D181" t="str">
            <v>29305 Statutory reserves</v>
          </cell>
          <cell r="E181">
            <v>-12388718192.41</v>
          </cell>
        </row>
        <row r="182">
          <cell r="A182" t="str">
            <v>29330</v>
          </cell>
          <cell r="B182" t="str">
            <v>RB-C-29330</v>
          </cell>
          <cell r="C182" t="str">
            <v/>
          </cell>
          <cell r="D182" t="str">
            <v>29330 OCI: Actuarial gains/losses-gross</v>
          </cell>
          <cell r="E182">
            <v>453357720.31</v>
          </cell>
        </row>
        <row r="183">
          <cell r="A183" t="str">
            <v>29331</v>
          </cell>
          <cell r="B183" t="str">
            <v>RB-C-29331</v>
          </cell>
          <cell r="C183" t="str">
            <v/>
          </cell>
          <cell r="D183" t="str">
            <v>29331 OCI: Actuarial gains/losses-def. taxes</v>
          </cell>
          <cell r="E183">
            <v>-114110018.28</v>
          </cell>
        </row>
        <row r="184">
          <cell r="A184" t="str">
            <v>29332</v>
          </cell>
          <cell r="B184" t="str">
            <v>RB-C-29332</v>
          </cell>
          <cell r="C184" t="str">
            <v/>
          </cell>
          <cell r="D184" t="str">
            <v>29332 OCI: Actuarial gains/losses-net</v>
          </cell>
          <cell r="E184">
            <v>339247702.02999997</v>
          </cell>
        </row>
        <row r="185">
          <cell r="A185" t="str">
            <v>2935A</v>
          </cell>
          <cell r="B185" t="str">
            <v>RB-C-2935A</v>
          </cell>
          <cell r="C185" t="str">
            <v/>
          </cell>
          <cell r="D185" t="str">
            <v/>
          </cell>
          <cell r="E185">
            <v>-22330117174.650002</v>
          </cell>
        </row>
        <row r="186">
          <cell r="A186" t="str">
            <v>4</v>
          </cell>
          <cell r="B186" t="str">
            <v>4</v>
          </cell>
          <cell r="C186" t="str">
            <v/>
          </cell>
          <cell r="D186" t="str">
            <v>Net result: profit</v>
          </cell>
          <cell r="E186">
            <v>-9881464679.3799992</v>
          </cell>
        </row>
        <row r="187">
          <cell r="A187" t="str">
            <v>2935B</v>
          </cell>
          <cell r="B187" t="str">
            <v>RB-C-2935B</v>
          </cell>
          <cell r="C187" t="str">
            <v/>
          </cell>
          <cell r="D187" t="str">
            <v/>
          </cell>
          <cell r="E187">
            <v>-9881464679.3799992</v>
          </cell>
        </row>
        <row r="188">
          <cell r="A188" t="str">
            <v>29350</v>
          </cell>
          <cell r="B188" t="str">
            <v>RB-C-29350</v>
          </cell>
          <cell r="C188" t="str">
            <v/>
          </cell>
          <cell r="D188" t="str">
            <v>29350 Other revenue reserves</v>
          </cell>
          <cell r="E188">
            <v>-32211581854.029999</v>
          </cell>
        </row>
        <row r="189">
          <cell r="A189" t="str">
            <v>29355</v>
          </cell>
          <cell r="B189" t="str">
            <v>RB-C-29355</v>
          </cell>
          <cell r="C189" t="str">
            <v/>
          </cell>
          <cell r="D189" t="str">
            <v>Total 29355 Oth.rev.K-int.Transf</v>
          </cell>
          <cell r="E189">
            <v>-122587600</v>
          </cell>
        </row>
        <row r="190">
          <cell r="A190" t="str">
            <v>29399</v>
          </cell>
          <cell r="B190" t="str">
            <v>RB-C-29399</v>
          </cell>
          <cell r="C190" t="str">
            <v/>
          </cell>
          <cell r="D190" t="str">
            <v>29399 Total: Earned surplus reserves</v>
          </cell>
          <cell r="E190">
            <v>-44383639944.410004</v>
          </cell>
        </row>
        <row r="191">
          <cell r="A191" t="str">
            <v>L_EQT</v>
          </cell>
          <cell r="B191" t="str">
            <v>RB-C-L_EQT</v>
          </cell>
          <cell r="C191" t="str">
            <v/>
          </cell>
          <cell r="D191" t="str">
            <v>Total L_EQT Total: Equity</v>
          </cell>
          <cell r="E191">
            <v>-44425237744.410004</v>
          </cell>
        </row>
        <row r="192">
          <cell r="A192" t="str">
            <v>L_TOT</v>
          </cell>
          <cell r="B192" t="str">
            <v>RB-C-L_TOT</v>
          </cell>
          <cell r="C192" t="str">
            <v/>
          </cell>
          <cell r="D192" t="str">
            <v>Total L_TOT Total: Liabilities and equity</v>
          </cell>
          <cell r="E192">
            <v>-94016189462.179993</v>
          </cell>
        </row>
        <row r="193">
          <cell r="A193" t="str">
            <v>400</v>
          </cell>
          <cell r="B193" t="str">
            <v>400</v>
          </cell>
          <cell r="C193" t="str">
            <v/>
          </cell>
          <cell r="D193" t="str">
            <v>Total Remuneration</v>
          </cell>
          <cell r="E193">
            <v>29796744205.200001</v>
          </cell>
        </row>
        <row r="194">
          <cell r="A194" t="str">
            <v>402</v>
          </cell>
          <cell r="B194" t="str">
            <v>402</v>
          </cell>
          <cell r="C194" t="str">
            <v/>
          </cell>
          <cell r="D194" t="str">
            <v>Total Remuneration for paid leave</v>
          </cell>
          <cell r="E194">
            <v>411480140.77999997</v>
          </cell>
        </row>
        <row r="195">
          <cell r="A195" t="str">
            <v>403</v>
          </cell>
          <cell r="B195" t="str">
            <v>403</v>
          </cell>
          <cell r="C195" t="str">
            <v/>
          </cell>
          <cell r="D195" t="str">
            <v>Total Compens. overtime &amp; extra pay for shift</v>
          </cell>
          <cell r="E195">
            <v>21129800</v>
          </cell>
        </row>
        <row r="196">
          <cell r="A196" t="str">
            <v>404</v>
          </cell>
          <cell r="B196" t="str">
            <v>404</v>
          </cell>
          <cell r="C196" t="str">
            <v/>
          </cell>
          <cell r="D196" t="str">
            <v>Total Bonuses</v>
          </cell>
          <cell r="E196">
            <v>3394592544.1500001</v>
          </cell>
        </row>
        <row r="197">
          <cell r="A197" t="str">
            <v>4062</v>
          </cell>
          <cell r="B197" t="str">
            <v>4062</v>
          </cell>
          <cell r="C197" t="str">
            <v/>
          </cell>
          <cell r="D197" t="str">
            <v/>
          </cell>
          <cell r="E197">
            <v>3200294118.8699999</v>
          </cell>
        </row>
        <row r="198">
          <cell r="A198" t="str">
            <v>94011</v>
          </cell>
          <cell r="B198" t="str">
            <v>RB-C-94011</v>
          </cell>
          <cell r="C198" t="str">
            <v/>
          </cell>
          <cell r="D198" t="str">
            <v>94011 Personnel expenses - remuneration</v>
          </cell>
          <cell r="E198">
            <v>36824240809</v>
          </cell>
        </row>
        <row r="199">
          <cell r="A199" t="str">
            <v>4060</v>
          </cell>
          <cell r="B199" t="str">
            <v>4060</v>
          </cell>
          <cell r="C199" t="str">
            <v/>
          </cell>
          <cell r="D199" t="str">
            <v/>
          </cell>
          <cell r="E199">
            <v>316206368</v>
          </cell>
        </row>
        <row r="200">
          <cell r="A200" t="str">
            <v>94012</v>
          </cell>
          <cell r="B200" t="str">
            <v>RB-C-94012</v>
          </cell>
          <cell r="C200" t="str">
            <v/>
          </cell>
          <cell r="D200" t="str">
            <v>94012 Personnel expenses - social security</v>
          </cell>
          <cell r="E200">
            <v>316206368</v>
          </cell>
        </row>
        <row r="201">
          <cell r="A201" t="str">
            <v>4050</v>
          </cell>
          <cell r="B201" t="str">
            <v>4050</v>
          </cell>
          <cell r="C201" t="str">
            <v/>
          </cell>
          <cell r="D201" t="str">
            <v/>
          </cell>
          <cell r="E201">
            <v>10480040217</v>
          </cell>
        </row>
        <row r="202">
          <cell r="A202" t="str">
            <v>94013</v>
          </cell>
          <cell r="B202" t="str">
            <v>RB-C-94013</v>
          </cell>
          <cell r="C202" t="str">
            <v/>
          </cell>
          <cell r="D202" t="str">
            <v>94013 Personnel expenses - pension costs</v>
          </cell>
          <cell r="E202">
            <v>10480040217</v>
          </cell>
        </row>
        <row r="203">
          <cell r="A203" t="str">
            <v>94014</v>
          </cell>
          <cell r="B203" t="str">
            <v>RB-C-94014</v>
          </cell>
          <cell r="C203" t="str">
            <v/>
          </cell>
          <cell r="D203" t="str">
            <v>94014 Personnel exp. - other support paym.</v>
          </cell>
          <cell r="E203">
            <v>87106529.969999999</v>
          </cell>
        </row>
        <row r="204">
          <cell r="A204" t="str">
            <v>94019</v>
          </cell>
          <cell r="B204" t="str">
            <v>RB-C-94019</v>
          </cell>
          <cell r="C204" t="str">
            <v/>
          </cell>
          <cell r="D204" t="str">
            <v>94019 Total: Personnel expenses</v>
          </cell>
          <cell r="E204">
            <v>47707593923.970001</v>
          </cell>
        </row>
        <row r="205">
          <cell r="A205" t="str">
            <v>07700</v>
          </cell>
          <cell r="B205" t="str">
            <v>P707700</v>
          </cell>
          <cell r="C205" t="str">
            <v/>
          </cell>
          <cell r="D205" t="str">
            <v/>
          </cell>
          <cell r="E205">
            <v>47707593923.970001</v>
          </cell>
        </row>
        <row r="206">
          <cell r="A206" t="str">
            <v>394</v>
          </cell>
          <cell r="B206" t="str">
            <v>394</v>
          </cell>
          <cell r="C206" t="str">
            <v/>
          </cell>
          <cell r="D206" t="str">
            <v>Total Intra-company delivery of goods</v>
          </cell>
          <cell r="E206">
            <v>-1407384023.8099999</v>
          </cell>
        </row>
        <row r="207">
          <cell r="A207" t="str">
            <v>395</v>
          </cell>
          <cell r="B207" t="str">
            <v>395</v>
          </cell>
          <cell r="C207" t="str">
            <v/>
          </cell>
          <cell r="D207" t="str">
            <v>Total Manufacturing costs of Intra-company de</v>
          </cell>
          <cell r="E207">
            <v>1407084030.23</v>
          </cell>
        </row>
        <row r="208">
          <cell r="A208" t="str">
            <v>394FF</v>
          </cell>
          <cell r="B208" t="str">
            <v>394FF</v>
          </cell>
          <cell r="C208" t="str">
            <v/>
          </cell>
          <cell r="D208" t="str">
            <v>Total Intra-company delivery / costs</v>
          </cell>
          <cell r="E208">
            <v>-299993.58</v>
          </cell>
        </row>
        <row r="209">
          <cell r="A209" t="str">
            <v>420</v>
          </cell>
          <cell r="B209" t="str">
            <v>420</v>
          </cell>
          <cell r="C209" t="str">
            <v/>
          </cell>
          <cell r="D209" t="str">
            <v>Total Material cost &amp; purch.services for prod</v>
          </cell>
          <cell r="E209">
            <v>9027.69</v>
          </cell>
        </row>
        <row r="210">
          <cell r="A210" t="str">
            <v>423</v>
          </cell>
          <cell r="B210" t="str">
            <v>423</v>
          </cell>
          <cell r="C210" t="str">
            <v/>
          </cell>
          <cell r="D210" t="str">
            <v>Total Merchandise incl. cash discounts and bo</v>
          </cell>
          <cell r="E210">
            <v>1459637289.4300001</v>
          </cell>
        </row>
        <row r="211">
          <cell r="A211" t="str">
            <v>424</v>
          </cell>
          <cell r="B211" t="str">
            <v>424</v>
          </cell>
          <cell r="C211" t="str">
            <v/>
          </cell>
          <cell r="D211" t="str">
            <v>Total Procurement of energy, fuels</v>
          </cell>
          <cell r="E211">
            <v>446646947.25</v>
          </cell>
        </row>
        <row r="212">
          <cell r="A212" t="str">
            <v>426</v>
          </cell>
          <cell r="B212" t="str">
            <v>426</v>
          </cell>
          <cell r="C212" t="str">
            <v/>
          </cell>
          <cell r="D212" t="str">
            <v>Total Costs dependent on purchase for goods r</v>
          </cell>
          <cell r="E212">
            <v>80924227.879999995</v>
          </cell>
        </row>
        <row r="213">
          <cell r="A213" t="str">
            <v>427</v>
          </cell>
          <cell r="B213" t="str">
            <v>427</v>
          </cell>
          <cell r="C213" t="str">
            <v/>
          </cell>
          <cell r="D213" t="str">
            <v>Total Mat.costs &amp; purch.services / hired labo</v>
          </cell>
          <cell r="E213">
            <v>2883856287.3800001</v>
          </cell>
        </row>
        <row r="214">
          <cell r="A214" t="str">
            <v>428</v>
          </cell>
          <cell r="B214" t="str">
            <v>428</v>
          </cell>
          <cell r="C214" t="str">
            <v/>
          </cell>
          <cell r="D214" t="str">
            <v>Total Tool costs</v>
          </cell>
          <cell r="E214">
            <v>94874.49</v>
          </cell>
        </row>
        <row r="215">
          <cell r="A215" t="str">
            <v>4407</v>
          </cell>
          <cell r="B215" t="str">
            <v>4407</v>
          </cell>
          <cell r="C215" t="str">
            <v/>
          </cell>
          <cell r="D215" t="str">
            <v/>
          </cell>
          <cell r="E215">
            <v>29119906.859999999</v>
          </cell>
        </row>
        <row r="216">
          <cell r="A216" t="str">
            <v>4713</v>
          </cell>
          <cell r="B216" t="str">
            <v>4713</v>
          </cell>
          <cell r="C216" t="str">
            <v/>
          </cell>
          <cell r="D216" t="str">
            <v/>
          </cell>
          <cell r="E216">
            <v>4717184.29</v>
          </cell>
        </row>
        <row r="217">
          <cell r="A217" t="str">
            <v>4722</v>
          </cell>
          <cell r="B217" t="str">
            <v>4722</v>
          </cell>
          <cell r="C217" t="str">
            <v/>
          </cell>
          <cell r="D217" t="str">
            <v/>
          </cell>
          <cell r="E217">
            <v>-8269274.9500000002</v>
          </cell>
        </row>
        <row r="218">
          <cell r="A218" t="str">
            <v>4922</v>
          </cell>
          <cell r="B218" t="str">
            <v>4922</v>
          </cell>
          <cell r="C218" t="str">
            <v/>
          </cell>
          <cell r="D218" t="str">
            <v/>
          </cell>
          <cell r="E218">
            <v>-1366082053.1099999</v>
          </cell>
        </row>
        <row r="219">
          <cell r="A219" t="str">
            <v>94100</v>
          </cell>
          <cell r="B219" t="str">
            <v>RB-C-94100</v>
          </cell>
          <cell r="C219" t="str">
            <v/>
          </cell>
          <cell r="D219" t="str">
            <v>94100 Total costs of materials</v>
          </cell>
          <cell r="E219">
            <v>3530354423.6300001</v>
          </cell>
        </row>
        <row r="220">
          <cell r="A220" t="str">
            <v>94300</v>
          </cell>
          <cell r="B220" t="str">
            <v>RB-C-94300</v>
          </cell>
          <cell r="C220" t="str">
            <v/>
          </cell>
          <cell r="D220" t="str">
            <v>94300 Total Donations, tax deductible</v>
          </cell>
          <cell r="E220">
            <v>193098153</v>
          </cell>
        </row>
        <row r="221">
          <cell r="A221" t="str">
            <v>513FF</v>
          </cell>
          <cell r="B221" t="str">
            <v>14513FF</v>
          </cell>
          <cell r="C221" t="str">
            <v/>
          </cell>
          <cell r="D221" t="str">
            <v/>
          </cell>
          <cell r="E221">
            <v>26162.959999999999</v>
          </cell>
        </row>
        <row r="222">
          <cell r="A222" t="str">
            <v>94401</v>
          </cell>
          <cell r="B222" t="str">
            <v>RB-C-94401</v>
          </cell>
          <cell r="C222" t="str">
            <v/>
          </cell>
          <cell r="D222" t="str">
            <v/>
          </cell>
          <cell r="E222">
            <v>26162.959999999999</v>
          </cell>
        </row>
        <row r="223">
          <cell r="A223" t="str">
            <v>511FF</v>
          </cell>
          <cell r="B223" t="str">
            <v>14511FF</v>
          </cell>
          <cell r="C223" t="str">
            <v/>
          </cell>
          <cell r="D223" t="str">
            <v/>
          </cell>
          <cell r="E223">
            <v>21118790.359999999</v>
          </cell>
        </row>
        <row r="224">
          <cell r="A224" t="str">
            <v>512FF</v>
          </cell>
          <cell r="B224" t="str">
            <v>14512FF</v>
          </cell>
          <cell r="C224" t="str">
            <v/>
          </cell>
          <cell r="D224" t="str">
            <v/>
          </cell>
          <cell r="E224">
            <v>6300139.2599999998</v>
          </cell>
        </row>
        <row r="225">
          <cell r="A225" t="str">
            <v>94404</v>
          </cell>
          <cell r="B225" t="str">
            <v>RB-C-94404</v>
          </cell>
          <cell r="C225" t="str">
            <v/>
          </cell>
          <cell r="D225" t="str">
            <v/>
          </cell>
          <cell r="E225">
            <v>27418929.620000001</v>
          </cell>
        </row>
        <row r="226">
          <cell r="A226" t="str">
            <v>N.IS</v>
          </cell>
          <cell r="B226" t="str">
            <v>N.IS</v>
          </cell>
          <cell r="C226" t="str">
            <v/>
          </cell>
          <cell r="D226" t="str">
            <v>N.IS Notes related to the Income Statement</v>
          </cell>
          <cell r="E226">
            <v>51458491593.18</v>
          </cell>
        </row>
        <row r="227">
          <cell r="A227" t="str">
            <v>99110</v>
          </cell>
          <cell r="B227" t="str">
            <v>P2_99110</v>
          </cell>
          <cell r="C227" t="str">
            <v/>
          </cell>
          <cell r="D227" t="str">
            <v>Total P2_99110 Own work cap.on tang.fixed ass</v>
          </cell>
          <cell r="E227">
            <v>-4553047.16</v>
          </cell>
        </row>
        <row r="228">
          <cell r="A228" t="str">
            <v>99210</v>
          </cell>
          <cell r="B228" t="str">
            <v>P2_99210</v>
          </cell>
          <cell r="C228" t="str">
            <v/>
          </cell>
          <cell r="D228" t="str">
            <v>Total P2_99210 Expenses for temporary workers</v>
          </cell>
          <cell r="E228">
            <v>163051870.00999999</v>
          </cell>
        </row>
        <row r="229">
          <cell r="A229" t="str">
            <v>N.T9</v>
          </cell>
          <cell r="B229" t="str">
            <v>N.T9</v>
          </cell>
          <cell r="C229" t="str">
            <v/>
          </cell>
          <cell r="D229" t="str">
            <v/>
          </cell>
          <cell r="E229">
            <v>158498822.84999999</v>
          </cell>
        </row>
        <row r="230">
          <cell r="A230" t="str">
            <v>E UFE</v>
          </cell>
          <cell r="B230" t="str">
            <v>CHANGE UFE</v>
          </cell>
          <cell r="C230" t="str">
            <v/>
          </cell>
          <cell r="D230" t="str">
            <v>Total Change unfinished goods</v>
          </cell>
          <cell r="E230">
            <v>-25358927.629999999</v>
          </cell>
        </row>
        <row r="231">
          <cell r="A231" t="str">
            <v>E UFE</v>
          </cell>
          <cell r="B231" t="str">
            <v>CHG FE UFE</v>
          </cell>
          <cell r="C231" t="str">
            <v/>
          </cell>
          <cell r="D231" t="str">
            <v>Total Finished and unfinished goods</v>
          </cell>
          <cell r="E231">
            <v>-25358927.629999999</v>
          </cell>
        </row>
        <row r="232">
          <cell r="A232" t="str">
            <v>300</v>
          </cell>
          <cell r="B232" t="str">
            <v>300</v>
          </cell>
          <cell r="C232" t="str">
            <v/>
          </cell>
          <cell r="D232" t="str">
            <v>Total Sales from deliveries of goods and merc</v>
          </cell>
          <cell r="E232">
            <v>-1776802992.2</v>
          </cell>
        </row>
        <row r="233">
          <cell r="A233" t="str">
            <v>30</v>
          </cell>
          <cell r="B233" t="str">
            <v>30</v>
          </cell>
          <cell r="C233" t="str">
            <v/>
          </cell>
          <cell r="D233" t="str">
            <v>Total Sales from deliveries of goods and merc</v>
          </cell>
          <cell r="E233">
            <v>-1776802992.2</v>
          </cell>
        </row>
        <row r="234">
          <cell r="A234" t="str">
            <v>310</v>
          </cell>
          <cell r="B234" t="str">
            <v>310</v>
          </cell>
          <cell r="C234" t="str">
            <v/>
          </cell>
          <cell r="D234" t="str">
            <v>Total Sales from services</v>
          </cell>
          <cell r="E234">
            <v>-2203753408.1799998</v>
          </cell>
        </row>
        <row r="235">
          <cell r="A235" t="str">
            <v>311</v>
          </cell>
          <cell r="B235" t="str">
            <v>311</v>
          </cell>
          <cell r="C235" t="str">
            <v/>
          </cell>
          <cell r="D235" t="str">
            <v>Total Sales from others</v>
          </cell>
          <cell r="E235">
            <v>-500817.24</v>
          </cell>
        </row>
        <row r="236">
          <cell r="A236" t="str">
            <v>31</v>
          </cell>
          <cell r="B236" t="str">
            <v>31</v>
          </cell>
          <cell r="C236" t="str">
            <v/>
          </cell>
          <cell r="D236" t="str">
            <v>Total Sales from services and others</v>
          </cell>
          <cell r="E236">
            <v>-2204254225.4200001</v>
          </cell>
        </row>
        <row r="237">
          <cell r="A237" t="str">
            <v>320</v>
          </cell>
          <cell r="B237" t="str">
            <v>320</v>
          </cell>
          <cell r="C237" t="str">
            <v/>
          </cell>
          <cell r="D237" t="str">
            <v>Total Sales from research &amp; development activ</v>
          </cell>
          <cell r="E237">
            <v>-81665444044.509995</v>
          </cell>
        </row>
        <row r="238">
          <cell r="A238" t="str">
            <v>32</v>
          </cell>
          <cell r="B238" t="str">
            <v>32</v>
          </cell>
          <cell r="C238" t="str">
            <v/>
          </cell>
          <cell r="D238" t="str">
            <v>Total Sales from research &amp; development activ</v>
          </cell>
          <cell r="E238">
            <v>-81665444044.509995</v>
          </cell>
        </row>
        <row r="239">
          <cell r="A239" t="str">
            <v>330</v>
          </cell>
          <cell r="B239" t="str">
            <v>330</v>
          </cell>
          <cell r="C239" t="str">
            <v/>
          </cell>
          <cell r="D239" t="str">
            <v>Total Sales from sales related activities</v>
          </cell>
          <cell r="E239">
            <v>-17961319.190000001</v>
          </cell>
        </row>
        <row r="240">
          <cell r="A240" t="str">
            <v>33</v>
          </cell>
          <cell r="B240" t="str">
            <v>33</v>
          </cell>
          <cell r="C240" t="str">
            <v/>
          </cell>
          <cell r="D240" t="str">
            <v>Total Sales from sales related activities</v>
          </cell>
          <cell r="E240">
            <v>-17961319.190000001</v>
          </cell>
        </row>
        <row r="241">
          <cell r="A241" t="str">
            <v>350</v>
          </cell>
          <cell r="B241" t="str">
            <v>350</v>
          </cell>
          <cell r="C241" t="str">
            <v/>
          </cell>
          <cell r="D241" t="str">
            <v>Total Manufacturing licence fees</v>
          </cell>
          <cell r="E241">
            <v>-352648137.98000002</v>
          </cell>
        </row>
        <row r="242">
          <cell r="A242" t="str">
            <v>35</v>
          </cell>
          <cell r="B242" t="str">
            <v>35</v>
          </cell>
          <cell r="C242" t="str">
            <v/>
          </cell>
          <cell r="D242" t="str">
            <v>Total Sales from licences</v>
          </cell>
          <cell r="E242">
            <v>-352648137.98000002</v>
          </cell>
        </row>
        <row r="243">
          <cell r="A243" t="str">
            <v>390</v>
          </cell>
          <cell r="B243" t="str">
            <v>390</v>
          </cell>
          <cell r="C243" t="str">
            <v/>
          </cell>
          <cell r="D243" t="str">
            <v>Total Income from reallocated overhead cost</v>
          </cell>
          <cell r="E243">
            <v>299993.58</v>
          </cell>
        </row>
        <row r="244">
          <cell r="A244" t="str">
            <v>39</v>
          </cell>
          <cell r="B244" t="str">
            <v>39</v>
          </cell>
          <cell r="C244" t="str">
            <v/>
          </cell>
          <cell r="D244" t="str">
            <v>Total Other income (realloc.overhead costs et</v>
          </cell>
          <cell r="E244">
            <v>299993.58</v>
          </cell>
        </row>
        <row r="245">
          <cell r="A245" t="str">
            <v>00000</v>
          </cell>
          <cell r="B245" t="str">
            <v>300000000</v>
          </cell>
          <cell r="C245" t="str">
            <v/>
          </cell>
          <cell r="D245" t="str">
            <v>Total Sales, sales allowances, other income</v>
          </cell>
          <cell r="E245">
            <v>-86016810725.720001</v>
          </cell>
        </row>
        <row r="246">
          <cell r="A246" t="str">
            <v>48</v>
          </cell>
          <cell r="B246" t="str">
            <v>48</v>
          </cell>
          <cell r="C246" t="str">
            <v/>
          </cell>
          <cell r="D246" t="str">
            <v/>
          </cell>
          <cell r="E246">
            <v>3269995610.29</v>
          </cell>
        </row>
        <row r="247">
          <cell r="A247" t="str">
            <v>410</v>
          </cell>
          <cell r="B247" t="str">
            <v>410</v>
          </cell>
          <cell r="C247" t="str">
            <v/>
          </cell>
          <cell r="D247" t="str">
            <v>Total Travel costs</v>
          </cell>
          <cell r="E247">
            <v>2083599772.4100001</v>
          </cell>
        </row>
        <row r="248">
          <cell r="A248" t="str">
            <v>411</v>
          </cell>
          <cell r="B248" t="str">
            <v>411</v>
          </cell>
          <cell r="C248" t="str">
            <v/>
          </cell>
          <cell r="D248" t="str">
            <v>Total Entertainment expenses</v>
          </cell>
          <cell r="E248">
            <v>6377929.2400000002</v>
          </cell>
        </row>
        <row r="249">
          <cell r="A249" t="str">
            <v>412</v>
          </cell>
          <cell r="B249" t="str">
            <v>412</v>
          </cell>
          <cell r="C249" t="str">
            <v/>
          </cell>
          <cell r="D249" t="str">
            <v>Total Vocational training</v>
          </cell>
          <cell r="E249">
            <v>454404632.52999997</v>
          </cell>
        </row>
        <row r="250">
          <cell r="A250" t="str">
            <v>413</v>
          </cell>
          <cell r="B250" t="str">
            <v>413</v>
          </cell>
          <cell r="C250" t="str">
            <v/>
          </cell>
          <cell r="D250" t="str">
            <v>Total Occupational safety, work wear</v>
          </cell>
          <cell r="E250">
            <v>191390192.44</v>
          </cell>
        </row>
        <row r="251">
          <cell r="A251" t="str">
            <v>414</v>
          </cell>
          <cell r="B251" t="str">
            <v>414</v>
          </cell>
          <cell r="C251" t="str">
            <v/>
          </cell>
          <cell r="D251" t="str">
            <v>Total Catering</v>
          </cell>
          <cell r="E251">
            <v>658255583.36000001</v>
          </cell>
        </row>
        <row r="252">
          <cell r="A252" t="str">
            <v>415</v>
          </cell>
          <cell r="B252" t="str">
            <v>415</v>
          </cell>
          <cell r="C252" t="str">
            <v/>
          </cell>
          <cell r="D252" t="str">
            <v>Total Other personnel-oriented material costs</v>
          </cell>
          <cell r="E252">
            <v>680523821.88999999</v>
          </cell>
        </row>
        <row r="253">
          <cell r="A253" t="str">
            <v>41</v>
          </cell>
          <cell r="B253" t="str">
            <v>41</v>
          </cell>
          <cell r="C253" t="str">
            <v/>
          </cell>
          <cell r="D253" t="str">
            <v>Total Personnel-oriented material costs</v>
          </cell>
          <cell r="E253">
            <v>4074551931.8699999</v>
          </cell>
        </row>
        <row r="254">
          <cell r="A254" t="str">
            <v>440</v>
          </cell>
          <cell r="B254" t="str">
            <v>440</v>
          </cell>
          <cell r="C254" t="str">
            <v/>
          </cell>
          <cell r="D254" t="str">
            <v>Total Research and development I</v>
          </cell>
          <cell r="E254">
            <v>297239608.60000002</v>
          </cell>
        </row>
        <row r="255">
          <cell r="A255" t="str">
            <v>442</v>
          </cell>
          <cell r="B255" t="str">
            <v>442</v>
          </cell>
          <cell r="C255" t="str">
            <v/>
          </cell>
          <cell r="D255" t="str">
            <v>Total Sales: Advertising I</v>
          </cell>
          <cell r="E255">
            <v>15529745.09</v>
          </cell>
        </row>
        <row r="256">
          <cell r="A256" t="str">
            <v>443</v>
          </cell>
          <cell r="B256" t="str">
            <v>443</v>
          </cell>
          <cell r="C256" t="str">
            <v/>
          </cell>
          <cell r="D256" t="str">
            <v>Total Sales: Advertising II</v>
          </cell>
          <cell r="E256">
            <v>30551354.829999998</v>
          </cell>
        </row>
        <row r="257">
          <cell r="A257" t="str">
            <v>444</v>
          </cell>
          <cell r="B257" t="str">
            <v>444</v>
          </cell>
          <cell r="C257" t="str">
            <v/>
          </cell>
          <cell r="D257" t="str">
            <v>Total Sales: Trade fairs / sales promotion</v>
          </cell>
          <cell r="E257">
            <v>41208594.219999999</v>
          </cell>
        </row>
        <row r="258">
          <cell r="A258" t="str">
            <v>445</v>
          </cell>
          <cell r="B258" t="str">
            <v>445</v>
          </cell>
          <cell r="C258" t="str">
            <v/>
          </cell>
          <cell r="D258" t="str">
            <v>Total Sales:Warranty,recall activities;del.co</v>
          </cell>
          <cell r="E258">
            <v>13433380.060000001</v>
          </cell>
        </row>
        <row r="259">
          <cell r="A259" t="str">
            <v>447</v>
          </cell>
          <cell r="B259" t="str">
            <v>447</v>
          </cell>
          <cell r="C259" t="str">
            <v/>
          </cell>
          <cell r="D259" t="str">
            <v>Total Sales: Outgoing freight and commissions</v>
          </cell>
          <cell r="E259">
            <v>533437</v>
          </cell>
        </row>
        <row r="260">
          <cell r="A260" t="str">
            <v>44</v>
          </cell>
          <cell r="B260" t="str">
            <v>44</v>
          </cell>
          <cell r="C260" t="str">
            <v/>
          </cell>
          <cell r="D260" t="str">
            <v>Total Research and development and sales</v>
          </cell>
          <cell r="E260">
            <v>398496119.80000001</v>
          </cell>
        </row>
        <row r="261">
          <cell r="A261" t="str">
            <v>450</v>
          </cell>
          <cell r="B261" t="str">
            <v>450</v>
          </cell>
          <cell r="C261" t="str">
            <v/>
          </cell>
          <cell r="D261" t="str">
            <v>Total Maintenance costs - third parties</v>
          </cell>
          <cell r="E261">
            <v>196961661.12</v>
          </cell>
        </row>
        <row r="262">
          <cell r="A262" t="str">
            <v>510FF</v>
          </cell>
          <cell r="B262" t="str">
            <v>14510FF</v>
          </cell>
          <cell r="C262" t="str">
            <v/>
          </cell>
          <cell r="D262" t="str">
            <v/>
          </cell>
          <cell r="E262">
            <v>1012204430.64</v>
          </cell>
        </row>
        <row r="263">
          <cell r="A263" t="str">
            <v>452</v>
          </cell>
          <cell r="B263" t="str">
            <v>452</v>
          </cell>
          <cell r="C263" t="str">
            <v/>
          </cell>
          <cell r="D263" t="str">
            <v>Total Communication costs and IT costs</v>
          </cell>
          <cell r="E263">
            <v>12011980663.82</v>
          </cell>
        </row>
        <row r="264">
          <cell r="A264" t="str">
            <v>453</v>
          </cell>
          <cell r="B264" t="str">
            <v>453</v>
          </cell>
          <cell r="C264" t="str">
            <v/>
          </cell>
          <cell r="D264" t="str">
            <v>Total Insurance premiums and indemnifications</v>
          </cell>
          <cell r="E264">
            <v>18432602</v>
          </cell>
        </row>
        <row r="265">
          <cell r="A265" t="str">
            <v>454</v>
          </cell>
          <cell r="B265" t="str">
            <v>454</v>
          </cell>
          <cell r="C265" t="str">
            <v/>
          </cell>
          <cell r="D265" t="str">
            <v>Total Taxes (indepen. of  income), contributi</v>
          </cell>
          <cell r="E265">
            <v>1125460254.03</v>
          </cell>
        </row>
        <row r="266">
          <cell r="A266" t="str">
            <v>455</v>
          </cell>
          <cell r="B266" t="str">
            <v>455</v>
          </cell>
          <cell r="C266" t="str">
            <v/>
          </cell>
          <cell r="D266" t="str">
            <v>Total Reloc. expenses &amp; transport costs(excl.</v>
          </cell>
          <cell r="E266">
            <v>1188666</v>
          </cell>
        </row>
        <row r="267">
          <cell r="A267" t="str">
            <v>456</v>
          </cell>
          <cell r="B267" t="str">
            <v>456</v>
          </cell>
          <cell r="C267" t="str">
            <v/>
          </cell>
          <cell r="D267" t="str">
            <v>Total Public relations and special literature</v>
          </cell>
          <cell r="E267">
            <v>158193.29999999999</v>
          </cell>
        </row>
        <row r="268">
          <cell r="A268" t="str">
            <v>457</v>
          </cell>
          <cell r="B268" t="str">
            <v>457</v>
          </cell>
          <cell r="C268" t="str">
            <v/>
          </cell>
          <cell r="D268" t="str">
            <v>Total Consulting expenses (without IT)</v>
          </cell>
          <cell r="E268">
            <v>-1545623556.97</v>
          </cell>
        </row>
        <row r="269">
          <cell r="A269" t="str">
            <v>459</v>
          </cell>
          <cell r="B269" t="str">
            <v>459</v>
          </cell>
          <cell r="C269" t="str">
            <v/>
          </cell>
          <cell r="D269" t="str">
            <v>Total Other costs</v>
          </cell>
          <cell r="E269">
            <v>2167068539.4299998</v>
          </cell>
        </row>
        <row r="270">
          <cell r="A270" t="str">
            <v>45</v>
          </cell>
          <cell r="B270" t="str">
            <v>45</v>
          </cell>
          <cell r="C270" t="str">
            <v/>
          </cell>
          <cell r="D270" t="str">
            <v>Total Other costs - thrid parties</v>
          </cell>
          <cell r="E270">
            <v>14987831453.370001</v>
          </cell>
        </row>
        <row r="271">
          <cell r="A271" t="str">
            <v>00000</v>
          </cell>
          <cell r="B271" t="str">
            <v>400000000</v>
          </cell>
          <cell r="C271" t="str">
            <v/>
          </cell>
          <cell r="D271" t="str">
            <v>Total Costs</v>
          </cell>
          <cell r="E271">
            <v>22730875115.330002</v>
          </cell>
        </row>
        <row r="272">
          <cell r="A272" t="str">
            <v>600</v>
          </cell>
          <cell r="B272" t="str">
            <v>600</v>
          </cell>
          <cell r="C272" t="str">
            <v/>
          </cell>
          <cell r="D272" t="str">
            <v>Total Income and expenses from provisions</v>
          </cell>
          <cell r="E272">
            <v>-1183774171.6199999</v>
          </cell>
        </row>
        <row r="273">
          <cell r="A273" t="str">
            <v>60</v>
          </cell>
          <cell r="B273" t="str">
            <v>60</v>
          </cell>
          <cell r="C273" t="str">
            <v/>
          </cell>
          <cell r="D273" t="str">
            <v>Total Income/expense provisions &amp; accru.liabi</v>
          </cell>
          <cell r="E273">
            <v>-1183774171.6199999</v>
          </cell>
        </row>
        <row r="274">
          <cell r="A274" t="str">
            <v>630</v>
          </cell>
          <cell r="B274" t="str">
            <v>630</v>
          </cell>
          <cell r="C274" t="str">
            <v/>
          </cell>
          <cell r="D274" t="str">
            <v>Total Realized&amp;unrealized exch. rate gains re</v>
          </cell>
          <cell r="E274">
            <v>-748167598.66999996</v>
          </cell>
        </row>
        <row r="275">
          <cell r="A275" t="str">
            <v>631</v>
          </cell>
          <cell r="B275" t="str">
            <v>631</v>
          </cell>
          <cell r="C275" t="str">
            <v/>
          </cell>
          <cell r="D275" t="str">
            <v>Total Realized&amp;unrealized exch. rate gains li</v>
          </cell>
          <cell r="E275">
            <v>27424165.27</v>
          </cell>
        </row>
        <row r="276">
          <cell r="A276" t="str">
            <v>633</v>
          </cell>
          <cell r="B276" t="str">
            <v>633</v>
          </cell>
          <cell r="C276" t="str">
            <v/>
          </cell>
          <cell r="D276" t="str">
            <v/>
          </cell>
          <cell r="E276">
            <v>-338579863.75999999</v>
          </cell>
        </row>
        <row r="277">
          <cell r="A277" t="str">
            <v>63</v>
          </cell>
          <cell r="B277" t="str">
            <v>63</v>
          </cell>
          <cell r="C277" t="str">
            <v/>
          </cell>
          <cell r="D277" t="str">
            <v>Total Other gains / income</v>
          </cell>
          <cell r="E277">
            <v>-1059323297.16</v>
          </cell>
        </row>
        <row r="278">
          <cell r="A278" t="str">
            <v>640</v>
          </cell>
          <cell r="B278" t="str">
            <v>640</v>
          </cell>
          <cell r="C278" t="str">
            <v/>
          </cell>
          <cell r="D278" t="str">
            <v>Total Income from disposal of tangible fixed</v>
          </cell>
          <cell r="E278">
            <v>-2337739.7599999998</v>
          </cell>
        </row>
        <row r="279">
          <cell r="A279" t="str">
            <v>642</v>
          </cell>
          <cell r="B279" t="str">
            <v>642</v>
          </cell>
          <cell r="C279" t="str">
            <v/>
          </cell>
          <cell r="D279" t="str">
            <v>Total Income from disposal of other assets</v>
          </cell>
          <cell r="E279">
            <v>-120076469.59999999</v>
          </cell>
        </row>
        <row r="280">
          <cell r="A280" t="str">
            <v>643</v>
          </cell>
          <cell r="B280" t="str">
            <v>643</v>
          </cell>
          <cell r="C280" t="str">
            <v/>
          </cell>
          <cell r="D280" t="str">
            <v>Total Income from rent, leasing commitments</v>
          </cell>
          <cell r="E280">
            <v>-410408588.69</v>
          </cell>
        </row>
        <row r="281">
          <cell r="A281" t="str">
            <v>64</v>
          </cell>
          <cell r="B281" t="str">
            <v>64</v>
          </cell>
          <cell r="C281" t="str">
            <v/>
          </cell>
          <cell r="D281" t="str">
            <v>Total Other operat  inc,fixed asset excl fina</v>
          </cell>
          <cell r="E281">
            <v>-532822798.05000001</v>
          </cell>
        </row>
        <row r="282">
          <cell r="A282" t="str">
            <v>650</v>
          </cell>
          <cell r="B282" t="str">
            <v>650</v>
          </cell>
          <cell r="C282" t="str">
            <v/>
          </cell>
          <cell r="D282" t="str">
            <v>Total Other operating income-third parties,B-</v>
          </cell>
          <cell r="E282">
            <v>53899553.75</v>
          </cell>
        </row>
        <row r="283">
          <cell r="A283" t="str">
            <v>65</v>
          </cell>
          <cell r="B283" t="str">
            <v>65</v>
          </cell>
          <cell r="C283" t="str">
            <v/>
          </cell>
          <cell r="D283" t="str">
            <v>Total Other operat. income, tax rec. for prev</v>
          </cell>
          <cell r="E283">
            <v>53899553.75</v>
          </cell>
        </row>
        <row r="284">
          <cell r="A284" t="str">
            <v>660</v>
          </cell>
          <cell r="B284" t="str">
            <v>660</v>
          </cell>
          <cell r="C284" t="str">
            <v/>
          </cell>
          <cell r="D284" t="str">
            <v>Total Realized &amp; unrealized exch. rate loss l</v>
          </cell>
          <cell r="E284">
            <v>343580168.94</v>
          </cell>
        </row>
        <row r="285">
          <cell r="A285" t="str">
            <v>661</v>
          </cell>
          <cell r="B285" t="str">
            <v>661</v>
          </cell>
          <cell r="C285" t="str">
            <v/>
          </cell>
          <cell r="D285" t="str">
            <v>Total Realized &amp; unrealized exch. rate loss r</v>
          </cell>
          <cell r="E285">
            <v>105959893.89</v>
          </cell>
        </row>
        <row r="286">
          <cell r="A286" t="str">
            <v>663</v>
          </cell>
          <cell r="B286" t="str">
            <v>663</v>
          </cell>
          <cell r="C286" t="str">
            <v/>
          </cell>
          <cell r="D286" t="str">
            <v/>
          </cell>
          <cell r="E286">
            <v>685921383.28999996</v>
          </cell>
        </row>
        <row r="287">
          <cell r="A287" t="str">
            <v>666</v>
          </cell>
          <cell r="B287" t="str">
            <v>666</v>
          </cell>
          <cell r="C287" t="str">
            <v/>
          </cell>
          <cell r="D287" t="str">
            <v>Total Losses creation of provision deprec. re</v>
          </cell>
          <cell r="E287">
            <v>52060499.07</v>
          </cell>
        </row>
        <row r="288">
          <cell r="A288" t="str">
            <v>66</v>
          </cell>
          <cell r="B288" t="str">
            <v>66</v>
          </cell>
          <cell r="C288" t="str">
            <v/>
          </cell>
          <cell r="D288" t="str">
            <v>Total Exp. trade receivables,other assets # 1</v>
          </cell>
          <cell r="E288">
            <v>1187521945.1900001</v>
          </cell>
        </row>
        <row r="289">
          <cell r="A289" t="str">
            <v>670</v>
          </cell>
          <cell r="B289" t="str">
            <v>670</v>
          </cell>
          <cell r="C289" t="str">
            <v/>
          </cell>
          <cell r="D289" t="str">
            <v>Total Expense from disposal of tangible fixed</v>
          </cell>
          <cell r="E289">
            <v>10227729.57</v>
          </cell>
        </row>
        <row r="290">
          <cell r="A290" t="str">
            <v>67</v>
          </cell>
          <cell r="B290" t="str">
            <v>67</v>
          </cell>
          <cell r="C290" t="str">
            <v/>
          </cell>
          <cell r="D290" t="str">
            <v>Total Oth oper. exp,exp from FA w/o financ. a</v>
          </cell>
          <cell r="E290">
            <v>10227729.57</v>
          </cell>
        </row>
        <row r="291">
          <cell r="A291" t="str">
            <v>00000</v>
          </cell>
          <cell r="B291" t="str">
            <v>600000000</v>
          </cell>
          <cell r="C291" t="str">
            <v/>
          </cell>
          <cell r="D291" t="str">
            <v>Total Other operating income &amp; expense,deprec</v>
          </cell>
          <cell r="E291">
            <v>-1524271038.3199999</v>
          </cell>
        </row>
        <row r="292">
          <cell r="A292" t="str">
            <v>701</v>
          </cell>
          <cell r="B292" t="str">
            <v>701</v>
          </cell>
          <cell r="C292" t="str">
            <v/>
          </cell>
          <cell r="D292" t="str">
            <v>Total Result investments (w/o B-a &amp; results s</v>
          </cell>
          <cell r="E292">
            <v>-378270720</v>
          </cell>
        </row>
        <row r="293">
          <cell r="A293" t="str">
            <v>70</v>
          </cell>
          <cell r="B293" t="str">
            <v>70</v>
          </cell>
          <cell r="C293" t="str">
            <v/>
          </cell>
          <cell r="D293" t="str">
            <v>Total Result from investments</v>
          </cell>
          <cell r="E293">
            <v>-378270720</v>
          </cell>
        </row>
        <row r="294">
          <cell r="A294" t="str">
            <v>710</v>
          </cell>
          <cell r="B294" t="str">
            <v>710</v>
          </cell>
          <cell r="C294" t="str">
            <v/>
          </cell>
          <cell r="D294" t="str">
            <v>Total Interest income</v>
          </cell>
          <cell r="E294">
            <v>-982314168.87</v>
          </cell>
        </row>
        <row r="295">
          <cell r="A295" t="str">
            <v>711</v>
          </cell>
          <cell r="B295" t="str">
            <v>711</v>
          </cell>
          <cell r="C295" t="str">
            <v/>
          </cell>
          <cell r="D295" t="str">
            <v>Total Interest Expenses</v>
          </cell>
          <cell r="E295">
            <v>735045341.89999998</v>
          </cell>
        </row>
        <row r="296">
          <cell r="A296" t="str">
            <v>71</v>
          </cell>
          <cell r="B296" t="str">
            <v>71</v>
          </cell>
          <cell r="C296" t="str">
            <v/>
          </cell>
          <cell r="D296" t="str">
            <v>Total Interest result</v>
          </cell>
          <cell r="E296">
            <v>-247268826.97</v>
          </cell>
        </row>
        <row r="297">
          <cell r="A297" t="str">
            <v>721</v>
          </cell>
          <cell r="B297" t="str">
            <v>721</v>
          </cell>
          <cell r="C297" t="str">
            <v/>
          </cell>
          <cell r="D297" t="str">
            <v>Total Other financial results 2</v>
          </cell>
          <cell r="E297">
            <v>-149924.35</v>
          </cell>
        </row>
        <row r="298">
          <cell r="A298" t="str">
            <v>722</v>
          </cell>
          <cell r="B298" t="str">
            <v>722</v>
          </cell>
          <cell r="C298" t="str">
            <v/>
          </cell>
          <cell r="D298" t="str">
            <v>Total Other financial results 3</v>
          </cell>
          <cell r="E298">
            <v>-0.18</v>
          </cell>
        </row>
        <row r="299">
          <cell r="A299" t="str">
            <v>725</v>
          </cell>
          <cell r="B299" t="str">
            <v>725</v>
          </cell>
          <cell r="C299" t="str">
            <v/>
          </cell>
          <cell r="D299" t="str">
            <v>Total Other financial results 4</v>
          </cell>
          <cell r="E299">
            <v>617918859.38999999</v>
          </cell>
        </row>
        <row r="300">
          <cell r="A300" t="str">
            <v>729</v>
          </cell>
          <cell r="B300" t="str">
            <v>729</v>
          </cell>
          <cell r="C300" t="str">
            <v/>
          </cell>
          <cell r="D300" t="str">
            <v>Total Real. and not real. exchange rate fin.</v>
          </cell>
          <cell r="E300">
            <v>-379346604.55000001</v>
          </cell>
        </row>
        <row r="301">
          <cell r="A301" t="str">
            <v>72</v>
          </cell>
          <cell r="B301" t="str">
            <v>72</v>
          </cell>
          <cell r="C301" t="str">
            <v/>
          </cell>
          <cell r="D301" t="str">
            <v>Total Other financial results</v>
          </cell>
          <cell r="E301">
            <v>238422330.31</v>
          </cell>
        </row>
        <row r="302">
          <cell r="A302" t="str">
            <v>751</v>
          </cell>
          <cell r="B302" t="str">
            <v>751</v>
          </cell>
          <cell r="C302" t="str">
            <v/>
          </cell>
          <cell r="D302" t="str">
            <v>Total Accrued income tax expenses - current y</v>
          </cell>
          <cell r="E302">
            <v>3884174242.71</v>
          </cell>
        </row>
        <row r="303">
          <cell r="A303" t="str">
            <v>758</v>
          </cell>
          <cell r="B303" t="str">
            <v>758</v>
          </cell>
          <cell r="C303" t="str">
            <v/>
          </cell>
          <cell r="D303" t="str">
            <v>Total Deferred tax expenses</v>
          </cell>
          <cell r="E303">
            <v>-159946544.75999999</v>
          </cell>
        </row>
        <row r="304">
          <cell r="A304" t="str">
            <v>75</v>
          </cell>
          <cell r="B304" t="str">
            <v>75</v>
          </cell>
          <cell r="C304" t="str">
            <v/>
          </cell>
          <cell r="D304" t="str">
            <v>Total Taxes on income</v>
          </cell>
          <cell r="E304">
            <v>3724227697.9499998</v>
          </cell>
        </row>
        <row r="305">
          <cell r="A305" t="str">
            <v>00000</v>
          </cell>
          <cell r="B305" t="str">
            <v>700000000</v>
          </cell>
          <cell r="C305" t="str">
            <v/>
          </cell>
          <cell r="D305" t="str">
            <v>Total Financial result and taxes</v>
          </cell>
          <cell r="E305">
            <v>3337110481.29</v>
          </cell>
        </row>
        <row r="306">
          <cell r="A306" t="str">
            <v>998</v>
          </cell>
          <cell r="B306" t="str">
            <v>998</v>
          </cell>
          <cell r="C306" t="str">
            <v/>
          </cell>
          <cell r="D306" t="str">
            <v>P&amp;L Result</v>
          </cell>
          <cell r="E306">
            <v>9881464679.3799992</v>
          </cell>
        </row>
        <row r="307">
          <cell r="A307" t="str">
            <v>P&amp;L</v>
          </cell>
          <cell r="B307" t="str">
            <v>P&amp;L</v>
          </cell>
          <cell r="C307" t="str">
            <v/>
          </cell>
          <cell r="D307" t="str">
            <v>Profit &amp; Loss (no CoS, no total cost method!)</v>
          </cell>
          <cell r="E307">
            <v>0.36</v>
          </cell>
        </row>
        <row r="308">
          <cell r="A308" t="str">
            <v>T1001</v>
          </cell>
          <cell r="B308" t="str">
            <v>MIGRAT1001</v>
          </cell>
          <cell r="C308" t="str">
            <v/>
          </cell>
          <cell r="D308" t="str">
            <v>Total Migration offset accounts common</v>
          </cell>
          <cell r="E308">
            <v>-0.3</v>
          </cell>
        </row>
        <row r="309">
          <cell r="A309" t="str">
            <v>T1002</v>
          </cell>
          <cell r="B309" t="str">
            <v>MIGRAT1002</v>
          </cell>
          <cell r="C309" t="str">
            <v/>
          </cell>
          <cell r="D309" t="str">
            <v>Total Migration offset accounts IFRS</v>
          </cell>
          <cell r="E309">
            <v>0.85</v>
          </cell>
        </row>
        <row r="310">
          <cell r="A310" t="str">
            <v>T1003</v>
          </cell>
          <cell r="B310" t="str">
            <v>MIGRAT1003</v>
          </cell>
          <cell r="C310" t="str">
            <v/>
          </cell>
          <cell r="D310" t="str">
            <v>Total Migration offset accounts Local GAAP</v>
          </cell>
          <cell r="E310">
            <v>-0.68</v>
          </cell>
        </row>
        <row r="311">
          <cell r="A311" t="str">
            <v>TION1</v>
          </cell>
          <cell r="B311" t="str">
            <v>MIGRATION1</v>
          </cell>
          <cell r="C311" t="str">
            <v/>
          </cell>
          <cell r="D311" t="str">
            <v>Total Migration offset accounts</v>
          </cell>
          <cell r="E311">
            <v>-0.13</v>
          </cell>
        </row>
        <row r="312">
          <cell r="A312" t="str">
            <v>T2001</v>
          </cell>
          <cell r="B312" t="str">
            <v>MIGRAT2001</v>
          </cell>
          <cell r="C312" t="str">
            <v/>
          </cell>
          <cell r="D312" t="str">
            <v>Total Suspense accounts for migration common</v>
          </cell>
          <cell r="E312">
            <v>1.65</v>
          </cell>
        </row>
        <row r="313">
          <cell r="A313" t="str">
            <v>T2002</v>
          </cell>
          <cell r="B313" t="str">
            <v>MIGRAT2002</v>
          </cell>
          <cell r="C313" t="str">
            <v/>
          </cell>
          <cell r="D313" t="str">
            <v>Total Suspense accounts for migration IFRS</v>
          </cell>
          <cell r="E313">
            <v>-1.2</v>
          </cell>
        </row>
        <row r="314">
          <cell r="A314" t="str">
            <v>T2003</v>
          </cell>
          <cell r="B314" t="str">
            <v>MIGRAT2003</v>
          </cell>
          <cell r="C314" t="str">
            <v/>
          </cell>
          <cell r="D314" t="str">
            <v>Total Suspense accounts for migration Local G</v>
          </cell>
          <cell r="E314">
            <v>0.33</v>
          </cell>
        </row>
        <row r="315">
          <cell r="A315" t="str">
            <v>TION2</v>
          </cell>
          <cell r="B315" t="str">
            <v>MIGRATION2</v>
          </cell>
          <cell r="C315" t="str">
            <v/>
          </cell>
          <cell r="D315" t="str">
            <v>Total Suspense accounts for migration</v>
          </cell>
          <cell r="E315">
            <v>0.78</v>
          </cell>
        </row>
        <row r="316">
          <cell r="A316" t="str">
            <v>ATION</v>
          </cell>
          <cell r="B316" t="str">
            <v>MIGRATION</v>
          </cell>
          <cell r="C316" t="str">
            <v/>
          </cell>
          <cell r="D316" t="str">
            <v>Migration Accounts</v>
          </cell>
          <cell r="E316">
            <v>0.65</v>
          </cell>
        </row>
        <row r="317">
          <cell r="A317" t="str">
            <v>ASSET</v>
          </cell>
          <cell r="B317" t="str">
            <v>LOCALASSET</v>
          </cell>
          <cell r="C317" t="str">
            <v/>
          </cell>
          <cell r="D317" t="str">
            <v/>
          </cell>
          <cell r="E317">
            <v>13042629358.17</v>
          </cell>
        </row>
        <row r="318">
          <cell r="A318" t="str">
            <v>LREST</v>
          </cell>
          <cell r="B318" t="str">
            <v>LOCALREST</v>
          </cell>
          <cell r="C318" t="str">
            <v/>
          </cell>
          <cell r="D318" t="str">
            <v/>
          </cell>
          <cell r="E318">
            <v>21020342260.639999</v>
          </cell>
        </row>
        <row r="319">
          <cell r="A319" t="str">
            <v>835</v>
          </cell>
          <cell r="B319" t="str">
            <v>835</v>
          </cell>
          <cell r="C319" t="str">
            <v/>
          </cell>
          <cell r="D319" t="str">
            <v/>
          </cell>
          <cell r="E319">
            <v>-2285930535.3400002</v>
          </cell>
        </row>
        <row r="320">
          <cell r="A320" t="str">
            <v>870</v>
          </cell>
          <cell r="B320" t="str">
            <v>870</v>
          </cell>
          <cell r="C320" t="str">
            <v/>
          </cell>
          <cell r="D320" t="str">
            <v/>
          </cell>
          <cell r="E320">
            <v>-31777041084.119999</v>
          </cell>
        </row>
        <row r="321">
          <cell r="A321" t="str">
            <v>87</v>
          </cell>
          <cell r="B321" t="str">
            <v>87</v>
          </cell>
          <cell r="C321" t="str">
            <v/>
          </cell>
          <cell r="D321" t="str">
            <v/>
          </cell>
          <cell r="E321">
            <v>-31777041084.119999</v>
          </cell>
        </row>
        <row r="322">
          <cell r="A322" t="str">
            <v>35_87</v>
          </cell>
          <cell r="B322" t="str">
            <v>835_87</v>
          </cell>
          <cell r="C322" t="str">
            <v/>
          </cell>
          <cell r="D322" t="str">
            <v/>
          </cell>
          <cell r="E322">
            <v>-34062971619.459999</v>
          </cell>
        </row>
        <row r="323">
          <cell r="A323" t="str">
            <v>LOCAL</v>
          </cell>
          <cell r="B323" t="str">
            <v>LOCAL</v>
          </cell>
          <cell r="C323" t="str">
            <v/>
          </cell>
          <cell r="D323" t="str">
            <v/>
          </cell>
          <cell r="E323">
            <v>-0.65</v>
          </cell>
        </row>
        <row r="324">
          <cell r="A324" t="str">
            <v>TECHN</v>
          </cell>
          <cell r="B324" t="str">
            <v>LOCALTECHN</v>
          </cell>
          <cell r="C324" t="str">
            <v/>
          </cell>
          <cell r="D324" t="str">
            <v>Local GAAP accounts and technical accounts</v>
          </cell>
          <cell r="E324">
            <v>-0.65</v>
          </cell>
        </row>
        <row r="325">
          <cell r="A325" t="str">
            <v>831</v>
          </cell>
          <cell r="B325" t="str">
            <v>831</v>
          </cell>
          <cell r="C325" t="str">
            <v/>
          </cell>
          <cell r="D325" t="str">
            <v/>
          </cell>
          <cell r="E325">
            <v>-0.36</v>
          </cell>
        </row>
        <row r="326">
          <cell r="A326" t="str">
            <v>83</v>
          </cell>
          <cell r="B326" t="str">
            <v>83</v>
          </cell>
          <cell r="C326" t="str">
            <v/>
          </cell>
          <cell r="D326" t="str">
            <v/>
          </cell>
          <cell r="E326">
            <v>-0.36</v>
          </cell>
        </row>
        <row r="327">
          <cell r="A327" t="str">
            <v>00000</v>
          </cell>
          <cell r="B327" t="str">
            <v>800000000</v>
          </cell>
          <cell r="C327" t="str">
            <v/>
          </cell>
          <cell r="D327" t="str">
            <v>Distribution, suspense and settlement account</v>
          </cell>
          <cell r="E327">
            <v>-0.36</v>
          </cell>
        </row>
        <row r="328">
          <cell r="A328" t="str">
            <v>XXXXX</v>
          </cell>
          <cell r="B328" t="str">
            <v>XXXXXXXXXX</v>
          </cell>
          <cell r="C328" t="str">
            <v/>
          </cell>
          <cell r="D328" t="str">
            <v/>
          </cell>
          <cell r="E328">
            <v>-0.36</v>
          </cell>
        </row>
        <row r="329">
          <cell r="A329" t="str">
            <v/>
          </cell>
          <cell r="B329" t="str">
            <v/>
          </cell>
          <cell r="C329" t="str">
            <v/>
          </cell>
          <cell r="D329" t="str">
            <v/>
          </cell>
          <cell r="E329">
            <v>1329763345.77</v>
          </cell>
        </row>
        <row r="330">
          <cell r="A330" t="str">
            <v/>
          </cell>
        </row>
        <row r="331">
          <cell r="A331" t="str">
            <v/>
          </cell>
        </row>
        <row r="332">
          <cell r="A332" t="str">
            <v/>
          </cell>
        </row>
        <row r="333">
          <cell r="A333" t="str">
            <v/>
          </cell>
        </row>
        <row r="334">
          <cell r="A334" t="str">
            <v/>
          </cell>
        </row>
        <row r="335">
          <cell r="A335" t="str">
            <v/>
          </cell>
        </row>
        <row r="336">
          <cell r="A336" t="str">
            <v/>
          </cell>
        </row>
        <row r="337">
          <cell r="A337" t="str">
            <v/>
          </cell>
        </row>
        <row r="338">
          <cell r="A338" t="str">
            <v/>
          </cell>
        </row>
        <row r="339">
          <cell r="A339" t="str">
            <v/>
          </cell>
        </row>
        <row r="340">
          <cell r="A340" t="str">
            <v/>
          </cell>
        </row>
        <row r="341">
          <cell r="A341" t="str">
            <v/>
          </cell>
        </row>
        <row r="342">
          <cell r="A342" t="str">
            <v/>
          </cell>
        </row>
        <row r="343">
          <cell r="A343" t="str">
            <v/>
          </cell>
        </row>
        <row r="344">
          <cell r="A344" t="str">
            <v/>
          </cell>
        </row>
        <row r="345">
          <cell r="A345" t="str">
            <v/>
          </cell>
        </row>
        <row r="346">
          <cell r="A346" t="str">
            <v/>
          </cell>
        </row>
        <row r="347">
          <cell r="A347" t="str">
            <v/>
          </cell>
        </row>
        <row r="348">
          <cell r="A348" t="str">
            <v/>
          </cell>
        </row>
        <row r="349">
          <cell r="A349" t="str">
            <v/>
          </cell>
        </row>
        <row r="350">
          <cell r="A350" t="str">
            <v/>
          </cell>
        </row>
        <row r="351">
          <cell r="A351" t="str">
            <v/>
          </cell>
        </row>
        <row r="352">
          <cell r="A352" t="str">
            <v/>
          </cell>
        </row>
        <row r="353">
          <cell r="A353" t="str">
            <v/>
          </cell>
        </row>
        <row r="354">
          <cell r="A354" t="str">
            <v/>
          </cell>
        </row>
        <row r="355">
          <cell r="A355" t="str">
            <v/>
          </cell>
        </row>
        <row r="356">
          <cell r="A356" t="str">
            <v/>
          </cell>
        </row>
        <row r="357">
          <cell r="A357" t="str">
            <v/>
          </cell>
        </row>
        <row r="358">
          <cell r="A358" t="str">
            <v/>
          </cell>
        </row>
        <row r="359">
          <cell r="A359" t="str">
            <v/>
          </cell>
        </row>
        <row r="360">
          <cell r="A360" t="str">
            <v/>
          </cell>
        </row>
        <row r="361">
          <cell r="A361" t="str">
            <v/>
          </cell>
        </row>
        <row r="362">
          <cell r="A362" t="str">
            <v/>
          </cell>
        </row>
        <row r="363">
          <cell r="A363" t="str">
            <v/>
          </cell>
        </row>
        <row r="364">
          <cell r="A364" t="str">
            <v/>
          </cell>
        </row>
        <row r="365">
          <cell r="A365" t="str">
            <v/>
          </cell>
        </row>
        <row r="366">
          <cell r="A366" t="str">
            <v/>
          </cell>
        </row>
        <row r="367">
          <cell r="A367" t="str">
            <v/>
          </cell>
        </row>
        <row r="368">
          <cell r="A368" t="str">
            <v/>
          </cell>
        </row>
        <row r="369">
          <cell r="A369" t="str">
            <v/>
          </cell>
        </row>
        <row r="370">
          <cell r="A370" t="str">
            <v/>
          </cell>
        </row>
        <row r="371">
          <cell r="A371" t="str">
            <v/>
          </cell>
        </row>
        <row r="372">
          <cell r="A372" t="str">
            <v/>
          </cell>
        </row>
        <row r="373">
          <cell r="A373" t="str">
            <v/>
          </cell>
        </row>
        <row r="374">
          <cell r="A374" t="str">
            <v/>
          </cell>
        </row>
        <row r="375">
          <cell r="A375" t="str">
            <v/>
          </cell>
        </row>
        <row r="376">
          <cell r="A376" t="str">
            <v/>
          </cell>
        </row>
        <row r="377">
          <cell r="A377" t="str">
            <v/>
          </cell>
        </row>
        <row r="378">
          <cell r="A378" t="str">
            <v/>
          </cell>
        </row>
        <row r="379">
          <cell r="A379" t="str">
            <v/>
          </cell>
        </row>
        <row r="380">
          <cell r="A380" t="str">
            <v/>
          </cell>
        </row>
        <row r="381">
          <cell r="A381" t="str">
            <v/>
          </cell>
        </row>
        <row r="382">
          <cell r="A382" t="str">
            <v/>
          </cell>
        </row>
        <row r="383">
          <cell r="A383" t="str">
            <v/>
          </cell>
        </row>
        <row r="384">
          <cell r="A384" t="str">
            <v/>
          </cell>
        </row>
        <row r="385">
          <cell r="A385" t="str">
            <v/>
          </cell>
        </row>
        <row r="386">
          <cell r="A386" t="str">
            <v/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fo"/>
      <sheetName val="Cntl"/>
      <sheetName val="Mapping IC"/>
      <sheetName val="Mapping FX"/>
      <sheetName val="SAP Input-BS_K_Assets"/>
      <sheetName val="SAP Input-BS_K_Liabilities"/>
      <sheetName val="SAP Input-A.FA1"/>
      <sheetName val="SAP Input-A.FA2"/>
      <sheetName val="SAP Input-A.FA3"/>
      <sheetName val="SAP Input-A.FA4"/>
      <sheetName val="SAP Input-A.FA5"/>
      <sheetName val="SAP Input-A.FA6"/>
      <sheetName val="SAP Input-A.FA7"/>
      <sheetName val="SAP Input-A.FA8"/>
      <sheetName val="SAP Input-A.FA9"/>
      <sheetName val="SAP Input-A.FAman"/>
      <sheetName val="SAP Input-Inv"/>
      <sheetName val="SAP Input-Inv_K"/>
      <sheetName val="SAP Input-IS_K"/>
      <sheetName val="SAP Input-IS"/>
      <sheetName val="SAP Input-Lease"/>
      <sheetName val="SAP Input-Lease_NF7"/>
      <sheetName val="SAP Input-L.Pr"/>
      <sheetName val="SAP Input-BS"/>
      <sheetName val="A.1"/>
      <sheetName val="A.1_MS"/>
      <sheetName val="A.1_K"/>
      <sheetName val="A.1_N"/>
      <sheetName val="A.Inv"/>
      <sheetName val="A.Inv_K"/>
      <sheetName val="A.FA"/>
      <sheetName val="A.FA_K"/>
      <sheetName val="A.Imt"/>
      <sheetName val="L.1"/>
      <sheetName val="L.1_FL"/>
      <sheetName val="L.1_K_Eq"/>
      <sheetName val="L.1_N"/>
      <sheetName val="L.Pr"/>
      <sheetName val="L.Eq"/>
      <sheetName val="B.Cons_A"/>
      <sheetName val="B.Cons_L"/>
      <sheetName val="B.Cons"/>
      <sheetName val="CF"/>
      <sheetName val="CF_State"/>
      <sheetName val="IS"/>
      <sheetName val="IS_K"/>
      <sheetName val="IS_N"/>
      <sheetName val="IS_B"/>
      <sheetName val="IS_Imt1"/>
      <sheetName val="IS_Tax"/>
      <sheetName val="B_State"/>
      <sheetName val="I_State"/>
      <sheetName val="N.T1"/>
      <sheetName val="N.T2"/>
      <sheetName val="N.T3"/>
      <sheetName val="N.T4_1,2"/>
      <sheetName val="N.T4_3,4"/>
      <sheetName val="N.T4_5"/>
      <sheetName val="N.T6"/>
      <sheetName val="N.T7"/>
      <sheetName val="N.T9"/>
      <sheetName val="N.T_IFS"/>
      <sheetName val="N.T9_K"/>
      <sheetName val="N.SNC"/>
      <sheetName val="N.S"/>
      <sheetName val="N.BA"/>
      <sheetName val="N.ICE"/>
      <sheetName val="N.BL"/>
      <sheetName val="N.CA_CL"/>
      <sheetName val="N.RP_B"/>
      <sheetName val="N.RP_N"/>
      <sheetName val="N.IS"/>
      <sheetName val="N.F1_N"/>
      <sheetName val="N.F1_P"/>
      <sheetName val="N.F2_1"/>
      <sheetName val="N.F2_2"/>
      <sheetName val="N.F3"/>
      <sheetName val="N.F4"/>
      <sheetName val="N.F4_K"/>
      <sheetName val="N.F5"/>
      <sheetName val="N.F6_1"/>
      <sheetName val="N.F6_2"/>
      <sheetName val="N.F7"/>
      <sheetName val="N.F8"/>
      <sheetName val="N.HB1"/>
      <sheetName val="N.MBR1"/>
      <sheetName val="N.V"/>
      <sheetName val="Check"/>
      <sheetName val="Softchecks"/>
      <sheetName val="K_N_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">
          <cell r="A5" t="str">
            <v>17003</v>
          </cell>
          <cell r="B5" t="str">
            <v>RB-C-17003</v>
          </cell>
          <cell r="C5" t="str">
            <v/>
          </cell>
          <cell r="D5" t="str">
            <v>Total 17003 Cash on hand</v>
          </cell>
          <cell r="E5">
            <v>2301</v>
          </cell>
        </row>
        <row r="6">
          <cell r="A6" t="str">
            <v>17005</v>
          </cell>
          <cell r="B6" t="str">
            <v>RB-C-17005</v>
          </cell>
          <cell r="C6" t="str">
            <v/>
          </cell>
          <cell r="D6" t="str">
            <v>Total 17005 Bank balances &lt; 90 days</v>
          </cell>
          <cell r="E6">
            <v>7544558484.1000004</v>
          </cell>
        </row>
        <row r="7">
          <cell r="A7" t="str">
            <v>AC_CH</v>
          </cell>
          <cell r="B7" t="str">
            <v>RB-C-AC_CH</v>
          </cell>
          <cell r="C7" t="str">
            <v/>
          </cell>
          <cell r="D7" t="str">
            <v>Total AC_CH Total: Cash and cash equivalents</v>
          </cell>
          <cell r="E7">
            <v>7544560785.1000004</v>
          </cell>
        </row>
        <row r="8">
          <cell r="A8" t="str">
            <v>1800C</v>
          </cell>
          <cell r="B8" t="str">
            <v>RB-C-1800C</v>
          </cell>
          <cell r="C8" t="str">
            <v/>
          </cell>
          <cell r="D8" t="str">
            <v>Total Trade receiv. Thrd parties,etc Nom. val</v>
          </cell>
          <cell r="E8">
            <v>3580184123.8000002</v>
          </cell>
        </row>
        <row r="9">
          <cell r="A9" t="str">
            <v>1800D</v>
          </cell>
          <cell r="B9" t="str">
            <v>RB-C-1800D</v>
          </cell>
          <cell r="C9" t="str">
            <v/>
          </cell>
          <cell r="D9" t="str">
            <v>Total Trade receiv. Thrd part.,etc Allow.,</v>
          </cell>
          <cell r="E9">
            <v>-247826012.03</v>
          </cell>
        </row>
        <row r="10">
          <cell r="A10" t="str">
            <v>18000</v>
          </cell>
          <cell r="B10" t="str">
            <v>RB-C-18000</v>
          </cell>
          <cell r="C10" t="str">
            <v/>
          </cell>
          <cell r="D10" t="str">
            <v>18000 Trade receivables - 3rd, B-c, B-f</v>
          </cell>
          <cell r="E10">
            <v>3332358111.77</v>
          </cell>
        </row>
        <row r="11">
          <cell r="A11" t="str">
            <v>1802I</v>
          </cell>
          <cell r="B11" t="str">
            <v>RB-C-1802I</v>
          </cell>
          <cell r="C11" t="str">
            <v/>
          </cell>
          <cell r="D11" t="str">
            <v>Trade receivables - K - Intrasegment</v>
          </cell>
          <cell r="E11">
            <v>13889445176.01</v>
          </cell>
        </row>
        <row r="12">
          <cell r="A12" t="str">
            <v>1802S</v>
          </cell>
          <cell r="B12" t="str">
            <v>RB-C-1802S</v>
          </cell>
          <cell r="C12" t="str">
            <v/>
          </cell>
          <cell r="D12" t="str">
            <v>Trade receivables - K - Intersegment</v>
          </cell>
          <cell r="E12">
            <v>1495069095.5899999</v>
          </cell>
        </row>
        <row r="13">
          <cell r="A13" t="str">
            <v>18020</v>
          </cell>
          <cell r="B13" t="str">
            <v>RB-C-18020</v>
          </cell>
          <cell r="C13" t="str">
            <v/>
          </cell>
          <cell r="D13" t="str">
            <v>18020 Trade receivables - K</v>
          </cell>
          <cell r="E13">
            <v>15384514271.6</v>
          </cell>
        </row>
        <row r="14">
          <cell r="A14" t="str">
            <v>1804C</v>
          </cell>
          <cell r="B14" t="str">
            <v>RB-C-1804C</v>
          </cell>
          <cell r="C14" t="str">
            <v/>
          </cell>
          <cell r="D14" t="str">
            <v>Total Trade receivables N Nominal value</v>
          </cell>
          <cell r="E14">
            <v>258502008.03999999</v>
          </cell>
        </row>
        <row r="15">
          <cell r="A15" t="str">
            <v>18040</v>
          </cell>
          <cell r="B15" t="str">
            <v>RB-C-18040</v>
          </cell>
          <cell r="C15" t="str">
            <v/>
          </cell>
          <cell r="D15" t="str">
            <v>18040 Trade receivables - N</v>
          </cell>
          <cell r="E15">
            <v>258502008.03999999</v>
          </cell>
        </row>
        <row r="16">
          <cell r="A16" t="str">
            <v>AC_AR</v>
          </cell>
          <cell r="B16" t="str">
            <v>RB-C-AC_AR</v>
          </cell>
          <cell r="C16" t="str">
            <v/>
          </cell>
          <cell r="D16" t="str">
            <v>Total AC_AR Total: Trade receivables</v>
          </cell>
          <cell r="E16">
            <v>18975374391.41</v>
          </cell>
        </row>
        <row r="17">
          <cell r="A17" t="str">
            <v>17057</v>
          </cell>
          <cell r="B17" t="str">
            <v>RB-C-17057</v>
          </cell>
          <cell r="C17" t="str">
            <v/>
          </cell>
          <cell r="D17" t="str">
            <v>17057 Money market funds - FVPL</v>
          </cell>
          <cell r="E17">
            <v>11390965220.23</v>
          </cell>
        </row>
        <row r="18">
          <cell r="A18" t="str">
            <v>17099</v>
          </cell>
          <cell r="B18" t="str">
            <v>RB-C-17099</v>
          </cell>
          <cell r="C18" t="str">
            <v/>
          </cell>
          <cell r="D18" t="str">
            <v>17099 Total: Marketable securities =&lt; 1 year</v>
          </cell>
          <cell r="E18">
            <v>11390965220.23</v>
          </cell>
        </row>
        <row r="19">
          <cell r="A19" t="str">
            <v>1825C</v>
          </cell>
          <cell r="B19" t="str">
            <v>RB-C-1825C</v>
          </cell>
          <cell r="C19" t="str">
            <v/>
          </cell>
          <cell r="D19" t="str">
            <v/>
          </cell>
          <cell r="E19">
            <v>12664584.130000001</v>
          </cell>
        </row>
        <row r="20">
          <cell r="A20" t="str">
            <v>1825D</v>
          </cell>
          <cell r="B20" t="str">
            <v>RB-C-1825D</v>
          </cell>
          <cell r="C20" t="str">
            <v/>
          </cell>
          <cell r="D20" t="str">
            <v/>
          </cell>
          <cell r="E20">
            <v>-126645.84</v>
          </cell>
        </row>
        <row r="21">
          <cell r="A21" t="str">
            <v>18215</v>
          </cell>
          <cell r="B21" t="str">
            <v>RB-C-18215</v>
          </cell>
          <cell r="C21" t="str">
            <v/>
          </cell>
          <cell r="D21" t="str">
            <v>18215 Loans =&lt; 1 year - employees</v>
          </cell>
          <cell r="E21">
            <v>12537938.289999999</v>
          </cell>
        </row>
        <row r="22">
          <cell r="A22" t="str">
            <v>18220</v>
          </cell>
          <cell r="B22" t="str">
            <v>RB-C-18220</v>
          </cell>
          <cell r="C22" t="str">
            <v/>
          </cell>
          <cell r="D22" t="str">
            <v>18220 Loans =&lt; 1 year - K</v>
          </cell>
          <cell r="E22">
            <v>5263902000</v>
          </cell>
        </row>
        <row r="23">
          <cell r="A23" t="str">
            <v>18299</v>
          </cell>
          <cell r="B23" t="str">
            <v>RB-C-18299</v>
          </cell>
          <cell r="C23" t="str">
            <v/>
          </cell>
          <cell r="D23" t="str">
            <v>18299 Total: Loans =&lt; 1 year</v>
          </cell>
          <cell r="E23">
            <v>5276439938.29</v>
          </cell>
        </row>
        <row r="24">
          <cell r="A24" t="str">
            <v>1860C</v>
          </cell>
          <cell r="B24" t="str">
            <v>RB-C-1860C</v>
          </cell>
          <cell r="C24" t="str">
            <v/>
          </cell>
          <cell r="D24" t="str">
            <v/>
          </cell>
          <cell r="E24">
            <v>384618619.61000001</v>
          </cell>
        </row>
        <row r="25">
          <cell r="A25" t="str">
            <v>1860D</v>
          </cell>
          <cell r="B25" t="str">
            <v>RB-C-1860D</v>
          </cell>
          <cell r="C25" t="str">
            <v/>
          </cell>
          <cell r="D25" t="str">
            <v/>
          </cell>
          <cell r="E25">
            <v>0.01</v>
          </cell>
        </row>
        <row r="26">
          <cell r="A26" t="str">
            <v>18600</v>
          </cell>
          <cell r="B26" t="str">
            <v>RB-C-18600</v>
          </cell>
          <cell r="C26" t="str">
            <v/>
          </cell>
          <cell r="D26" t="str">
            <v>18600 Receiv. f. fin. lease (lessor) =&lt; 1y</v>
          </cell>
          <cell r="E26">
            <v>384618619.62</v>
          </cell>
        </row>
        <row r="27">
          <cell r="A27" t="str">
            <v>18516</v>
          </cell>
          <cell r="B27" t="str">
            <v>RB-C-18516</v>
          </cell>
          <cell r="C27" t="str">
            <v/>
          </cell>
          <cell r="D27" t="str">
            <v>18516 Fin. receivab. board members, empl =&lt;1y</v>
          </cell>
          <cell r="E27">
            <v>230751899.13999999</v>
          </cell>
        </row>
        <row r="28">
          <cell r="A28" t="str">
            <v>1861G</v>
          </cell>
          <cell r="B28" t="str">
            <v>RB-C-1861G</v>
          </cell>
          <cell r="C28" t="str">
            <v/>
          </cell>
          <cell r="D28" t="str">
            <v/>
          </cell>
          <cell r="E28">
            <v>9004888412.0499992</v>
          </cell>
        </row>
        <row r="29">
          <cell r="A29" t="str">
            <v>1861H</v>
          </cell>
          <cell r="B29" t="str">
            <v>RB-C-1861H</v>
          </cell>
          <cell r="C29" t="str">
            <v/>
          </cell>
          <cell r="D29" t="str">
            <v/>
          </cell>
          <cell r="E29">
            <v>-2388911.25</v>
          </cell>
        </row>
        <row r="30">
          <cell r="A30" t="str">
            <v>18616</v>
          </cell>
          <cell r="B30" t="str">
            <v>RB-C-18616</v>
          </cell>
          <cell r="C30" t="str">
            <v/>
          </cell>
          <cell r="D30" t="str">
            <v>18616 Other financial receivables&lt;1 year, 3rd</v>
          </cell>
          <cell r="E30">
            <v>9002499500.7999992</v>
          </cell>
        </row>
        <row r="31">
          <cell r="A31" t="str">
            <v>18624</v>
          </cell>
          <cell r="B31" t="str">
            <v>RB-C-18624</v>
          </cell>
          <cell r="C31" t="str">
            <v/>
          </cell>
          <cell r="D31" t="str">
            <v>18624 Creditors with debit balances K</v>
          </cell>
          <cell r="E31">
            <v>21800084.620000001</v>
          </cell>
        </row>
        <row r="32">
          <cell r="A32" t="str">
            <v>18625</v>
          </cell>
          <cell r="B32" t="str">
            <v>RB-C-18625</v>
          </cell>
          <cell r="C32" t="str">
            <v/>
          </cell>
          <cell r="D32" t="str">
            <v>18625 Receivables accrued interest - K</v>
          </cell>
          <cell r="E32">
            <v>462724.78</v>
          </cell>
        </row>
        <row r="33">
          <cell r="A33" t="str">
            <v>18644</v>
          </cell>
          <cell r="B33" t="str">
            <v>RB-C-18644</v>
          </cell>
          <cell r="C33" t="str">
            <v/>
          </cell>
          <cell r="D33" t="str">
            <v>18644 Creditors with debit balances N</v>
          </cell>
          <cell r="E33">
            <v>1731827.79</v>
          </cell>
        </row>
        <row r="34">
          <cell r="A34" t="str">
            <v>AC_FA</v>
          </cell>
          <cell r="B34" t="str">
            <v>RB-C-AC_FA</v>
          </cell>
          <cell r="C34" t="str">
            <v/>
          </cell>
          <cell r="D34" t="str">
            <v>Total AC_FA Total: Oth current financ. assets</v>
          </cell>
          <cell r="E34">
            <v>26309269815.27</v>
          </cell>
        </row>
        <row r="35">
          <cell r="A35" t="str">
            <v>18510</v>
          </cell>
          <cell r="B35" t="str">
            <v>RB-C-18510</v>
          </cell>
          <cell r="C35" t="str">
            <v/>
          </cell>
          <cell r="D35" t="str">
            <v>18510 Income tax receivables &lt; 1 y</v>
          </cell>
          <cell r="E35">
            <v>42030079.710000001</v>
          </cell>
        </row>
        <row r="36">
          <cell r="A36" t="str">
            <v>AC_IT</v>
          </cell>
          <cell r="B36" t="str">
            <v>RB-C-AC_IT</v>
          </cell>
          <cell r="C36" t="str">
            <v/>
          </cell>
          <cell r="D36" t="str">
            <v>Total AC_IT Total: Income tax receivables &lt;1y</v>
          </cell>
          <cell r="E36">
            <v>42030079.710000001</v>
          </cell>
        </row>
        <row r="37">
          <cell r="A37" t="str">
            <v>18400</v>
          </cell>
          <cell r="B37" t="str">
            <v>RB-C-18400</v>
          </cell>
          <cell r="C37" t="str">
            <v/>
          </cell>
          <cell r="D37" t="str">
            <v>18400 Prepaid expenses - Th.p.,N, B-a,B-c,B-f</v>
          </cell>
          <cell r="E37">
            <v>533452119.25</v>
          </cell>
        </row>
        <row r="38">
          <cell r="A38" t="str">
            <v>1851A</v>
          </cell>
          <cell r="B38" t="str">
            <v>RB-C-1851A</v>
          </cell>
          <cell r="C38" t="str">
            <v/>
          </cell>
          <cell r="D38" t="str">
            <v/>
          </cell>
          <cell r="E38">
            <v>-4080200462.48</v>
          </cell>
        </row>
        <row r="39">
          <cell r="A39" t="str">
            <v>185DE</v>
          </cell>
          <cell r="B39" t="str">
            <v>RB-C-185DE</v>
          </cell>
          <cell r="C39" t="str">
            <v/>
          </cell>
          <cell r="D39" t="str">
            <v/>
          </cell>
          <cell r="E39">
            <v>28739224.109999999</v>
          </cell>
        </row>
        <row r="40">
          <cell r="A40" t="str">
            <v>185FR</v>
          </cell>
          <cell r="B40" t="str">
            <v>RB-C-185FR</v>
          </cell>
          <cell r="C40" t="str">
            <v/>
          </cell>
          <cell r="D40" t="str">
            <v/>
          </cell>
          <cell r="E40">
            <v>5711542.96</v>
          </cell>
        </row>
        <row r="41">
          <cell r="A41" t="str">
            <v>185GB</v>
          </cell>
          <cell r="B41" t="str">
            <v>RB-C-185GB</v>
          </cell>
          <cell r="C41" t="str">
            <v/>
          </cell>
          <cell r="D41" t="str">
            <v/>
          </cell>
          <cell r="E41">
            <v>3724193.37</v>
          </cell>
        </row>
        <row r="42">
          <cell r="A42" t="str">
            <v>185IN</v>
          </cell>
          <cell r="B42" t="str">
            <v>RB-C-185IN</v>
          </cell>
          <cell r="C42" t="str">
            <v/>
          </cell>
          <cell r="D42" t="str">
            <v/>
          </cell>
          <cell r="E42">
            <v>4044476929.29</v>
          </cell>
        </row>
        <row r="43">
          <cell r="A43" t="str">
            <v>185RU</v>
          </cell>
          <cell r="B43" t="str">
            <v>RB-C-185RU</v>
          </cell>
          <cell r="C43" t="str">
            <v/>
          </cell>
          <cell r="D43" t="str">
            <v/>
          </cell>
          <cell r="E43">
            <v>1272766.1200000001</v>
          </cell>
        </row>
        <row r="44">
          <cell r="A44" t="str">
            <v>18511</v>
          </cell>
          <cell r="B44" t="str">
            <v>RB-C-18511</v>
          </cell>
          <cell r="C44" t="str">
            <v/>
          </cell>
          <cell r="D44" t="str">
            <v>18511 Other tax receivables &lt; 1 y</v>
          </cell>
          <cell r="E44">
            <v>3724193.37</v>
          </cell>
        </row>
        <row r="45">
          <cell r="A45" t="str">
            <v>18515</v>
          </cell>
          <cell r="B45" t="str">
            <v>RB-C-18515</v>
          </cell>
          <cell r="C45" t="str">
            <v/>
          </cell>
          <cell r="D45" t="str">
            <v>18515 Receivables f. board members, employees</v>
          </cell>
          <cell r="E45">
            <v>8138</v>
          </cell>
        </row>
        <row r="46">
          <cell r="A46" t="str">
            <v>18610</v>
          </cell>
          <cell r="B46" t="str">
            <v>RB-C-18610</v>
          </cell>
          <cell r="C46" t="str">
            <v/>
          </cell>
          <cell r="D46" t="str">
            <v>18610 Sundry other receivables &lt; 1 y - 3rd, B</v>
          </cell>
          <cell r="E46">
            <v>146224421.59</v>
          </cell>
        </row>
        <row r="47">
          <cell r="A47" t="str">
            <v>18618</v>
          </cell>
          <cell r="B47" t="str">
            <v>RB-C-18618</v>
          </cell>
          <cell r="C47" t="str">
            <v/>
          </cell>
          <cell r="D47" t="str">
            <v>18618 Down paym made for oth services-3rd,B-c</v>
          </cell>
          <cell r="E47">
            <v>136277234.06999999</v>
          </cell>
        </row>
        <row r="48">
          <cell r="A48" t="str">
            <v>AC_OA</v>
          </cell>
          <cell r="B48" t="str">
            <v>RB-C-AC_OA</v>
          </cell>
          <cell r="C48" t="str">
            <v/>
          </cell>
          <cell r="D48" t="str">
            <v>Total AC_OA Total: Other current assets</v>
          </cell>
          <cell r="E48">
            <v>819686106.27999997</v>
          </cell>
        </row>
        <row r="49">
          <cell r="A49" t="str">
            <v>1901G</v>
          </cell>
          <cell r="B49" t="str">
            <v>RB-C-1901G</v>
          </cell>
          <cell r="C49" t="str">
            <v/>
          </cell>
          <cell r="D49" t="str">
            <v>Total: Business Gross Value Merchandise</v>
          </cell>
          <cell r="E49">
            <v>106866481.8</v>
          </cell>
        </row>
        <row r="50">
          <cell r="A50" t="str">
            <v>1901H</v>
          </cell>
          <cell r="B50" t="str">
            <v>RB-C-1901H</v>
          </cell>
          <cell r="C50" t="str">
            <v/>
          </cell>
          <cell r="D50" t="str">
            <v>Total: Revaluation to IFRS Gross Value</v>
          </cell>
          <cell r="E50">
            <v>-4936378.5</v>
          </cell>
        </row>
        <row r="51">
          <cell r="A51" t="str">
            <v>1901C</v>
          </cell>
          <cell r="B51" t="str">
            <v>RB-C-1901C</v>
          </cell>
          <cell r="C51" t="str">
            <v/>
          </cell>
          <cell r="D51" t="str">
            <v>Total: IFRS gross value Merchandise</v>
          </cell>
          <cell r="E51">
            <v>101930103.3</v>
          </cell>
        </row>
        <row r="52">
          <cell r="A52" t="str">
            <v>1901F</v>
          </cell>
          <cell r="B52" t="str">
            <v>RB-C-1901F</v>
          </cell>
          <cell r="C52" t="str">
            <v/>
          </cell>
          <cell r="D52" t="str">
            <v>Total: Write-Down net realizable value</v>
          </cell>
          <cell r="E52">
            <v>-51437578.009999998</v>
          </cell>
        </row>
        <row r="53">
          <cell r="A53" t="str">
            <v>1901D</v>
          </cell>
          <cell r="B53" t="str">
            <v>RB-C-1901D</v>
          </cell>
          <cell r="C53" t="str">
            <v/>
          </cell>
          <cell r="D53" t="str">
            <v>Total: Write-Down Merchandise</v>
          </cell>
          <cell r="E53">
            <v>-51437578.009999998</v>
          </cell>
        </row>
        <row r="54">
          <cell r="A54" t="str">
            <v>19019</v>
          </cell>
          <cell r="B54" t="str">
            <v>RB-C-19019</v>
          </cell>
          <cell r="C54" t="str">
            <v/>
          </cell>
          <cell r="D54" t="str">
            <v>19019 Total: IFRS BS Value Merchandise</v>
          </cell>
          <cell r="E54">
            <v>50492525.289999999</v>
          </cell>
        </row>
        <row r="55">
          <cell r="A55" t="str">
            <v>1903G</v>
          </cell>
          <cell r="B55" t="str">
            <v>RB-C-1903G</v>
          </cell>
          <cell r="C55" t="str">
            <v/>
          </cell>
          <cell r="D55" t="str">
            <v>Total: Business Gross Value Work in progress</v>
          </cell>
          <cell r="E55">
            <v>73801443.730000004</v>
          </cell>
        </row>
        <row r="56">
          <cell r="A56" t="str">
            <v>1903C</v>
          </cell>
          <cell r="B56" t="str">
            <v>RB-C-1903C</v>
          </cell>
          <cell r="C56" t="str">
            <v/>
          </cell>
          <cell r="D56" t="str">
            <v>Total: IFRS gross value Work in progress</v>
          </cell>
          <cell r="E56">
            <v>73801443.730000004</v>
          </cell>
        </row>
        <row r="57">
          <cell r="A57" t="str">
            <v>19039</v>
          </cell>
          <cell r="B57" t="str">
            <v>RB-C-19039</v>
          </cell>
          <cell r="C57" t="str">
            <v/>
          </cell>
          <cell r="D57" t="str">
            <v>19039 Total: IFRS BS Value Work in progress</v>
          </cell>
          <cell r="E57">
            <v>73801443.730000004</v>
          </cell>
        </row>
        <row r="58">
          <cell r="A58" t="str">
            <v>1904G</v>
          </cell>
          <cell r="B58" t="str">
            <v>RB-C-1904G</v>
          </cell>
          <cell r="C58" t="str">
            <v/>
          </cell>
          <cell r="D58" t="str">
            <v>Total: Business Gross Value Raw materials and</v>
          </cell>
          <cell r="E58">
            <v>88041102.560000002</v>
          </cell>
        </row>
        <row r="59">
          <cell r="A59" t="str">
            <v>1904C</v>
          </cell>
          <cell r="B59" t="str">
            <v>RB-C-1904C</v>
          </cell>
          <cell r="C59" t="str">
            <v/>
          </cell>
          <cell r="D59" t="str">
            <v>Total: IFRS gross value Raw materials and sup</v>
          </cell>
          <cell r="E59">
            <v>88041102.560000002</v>
          </cell>
        </row>
        <row r="60">
          <cell r="A60" t="str">
            <v>1904E</v>
          </cell>
          <cell r="B60" t="str">
            <v>RB-C-1904E</v>
          </cell>
          <cell r="C60" t="str">
            <v/>
          </cell>
          <cell r="D60" t="str">
            <v>Total: Write-Down scrap/obsolete</v>
          </cell>
          <cell r="E60">
            <v>-37983889.799999997</v>
          </cell>
        </row>
        <row r="61">
          <cell r="A61" t="str">
            <v>1904D</v>
          </cell>
          <cell r="B61" t="str">
            <v>RB-C-1904D</v>
          </cell>
          <cell r="C61" t="str">
            <v/>
          </cell>
          <cell r="D61" t="str">
            <v>Total: Write-Down Raw materials and supplies</v>
          </cell>
          <cell r="E61">
            <v>-37983889.799999997</v>
          </cell>
        </row>
        <row r="62">
          <cell r="A62" t="str">
            <v>19049</v>
          </cell>
          <cell r="B62" t="str">
            <v>RB-C-19049</v>
          </cell>
          <cell r="C62" t="str">
            <v/>
          </cell>
          <cell r="D62" t="str">
            <v>19049 Total: IFRS BS Value Raw mat. and suppl</v>
          </cell>
          <cell r="E62">
            <v>50057212.759999998</v>
          </cell>
        </row>
        <row r="63">
          <cell r="A63" t="str">
            <v>AC_IV</v>
          </cell>
          <cell r="B63" t="str">
            <v>RB-C-AC_IV</v>
          </cell>
          <cell r="C63" t="str">
            <v/>
          </cell>
          <cell r="D63" t="str">
            <v>Total AC_IV Total: Inventories</v>
          </cell>
          <cell r="E63">
            <v>174351181.78</v>
          </cell>
        </row>
        <row r="64">
          <cell r="A64" t="str">
            <v>AC_TO</v>
          </cell>
          <cell r="B64" t="str">
            <v>RB-C-AC_TO</v>
          </cell>
          <cell r="C64" t="str">
            <v/>
          </cell>
          <cell r="D64" t="str">
            <v>Total AC_TO Total: Current assets</v>
          </cell>
          <cell r="E64">
            <v>53865272359.550003</v>
          </cell>
        </row>
        <row r="65">
          <cell r="A65" t="str">
            <v>1430C</v>
          </cell>
          <cell r="B65" t="str">
            <v>RB-C-1430C</v>
          </cell>
          <cell r="C65" t="str">
            <v/>
          </cell>
          <cell r="D65" t="str">
            <v>Costs</v>
          </cell>
          <cell r="E65">
            <v>18364653190.119999</v>
          </cell>
        </row>
        <row r="66">
          <cell r="A66" t="str">
            <v>14300</v>
          </cell>
          <cell r="B66" t="str">
            <v>RB-C-14300</v>
          </cell>
          <cell r="C66" t="str">
            <v/>
          </cell>
          <cell r="D66" t="str">
            <v>14300 Investments - K</v>
          </cell>
          <cell r="E66">
            <v>18364653190.119999</v>
          </cell>
        </row>
        <row r="67">
          <cell r="A67" t="str">
            <v>1436D</v>
          </cell>
          <cell r="B67" t="str">
            <v>RB-C-1436D</v>
          </cell>
          <cell r="C67" t="str">
            <v/>
          </cell>
          <cell r="D67" t="str">
            <v>Accumulated Depreciation</v>
          </cell>
          <cell r="E67">
            <v>31762578</v>
          </cell>
        </row>
        <row r="68">
          <cell r="A68" t="str">
            <v>14360</v>
          </cell>
          <cell r="B68" t="str">
            <v>RB-C-14360</v>
          </cell>
          <cell r="C68" t="str">
            <v/>
          </cell>
          <cell r="D68" t="str">
            <v>14360 Investments - B-c FVOCI nR</v>
          </cell>
          <cell r="E68">
            <v>31762578</v>
          </cell>
        </row>
        <row r="69">
          <cell r="A69" t="str">
            <v>AN_IN</v>
          </cell>
          <cell r="B69" t="str">
            <v>RB-C-AN_IN</v>
          </cell>
          <cell r="C69" t="str">
            <v/>
          </cell>
          <cell r="D69" t="str">
            <v>AN_IN Total: Investments (wo B-a)</v>
          </cell>
          <cell r="E69">
            <v>18396415768.119999</v>
          </cell>
        </row>
        <row r="70">
          <cell r="A70" t="str">
            <v>1521E</v>
          </cell>
          <cell r="B70" t="str">
            <v>RB-C-1521E</v>
          </cell>
          <cell r="C70" t="str">
            <v/>
          </cell>
          <cell r="D70" t="str">
            <v/>
          </cell>
          <cell r="E70">
            <v>463826819.91000003</v>
          </cell>
        </row>
        <row r="71">
          <cell r="A71" t="str">
            <v>15210</v>
          </cell>
          <cell r="B71" t="str">
            <v>RB-C-15210</v>
          </cell>
          <cell r="C71" t="str">
            <v/>
          </cell>
          <cell r="D71" t="str">
            <v>15210 Loans &gt; 1 year - Third parties, B-c,B-f</v>
          </cell>
          <cell r="E71">
            <v>463826819.91000003</v>
          </cell>
        </row>
        <row r="72">
          <cell r="A72" t="str">
            <v>1521C</v>
          </cell>
          <cell r="B72" t="str">
            <v>RB-C-1521C</v>
          </cell>
          <cell r="C72" t="str">
            <v/>
          </cell>
          <cell r="D72" t="str">
            <v/>
          </cell>
          <cell r="E72">
            <v>70800455.569999993</v>
          </cell>
        </row>
        <row r="73">
          <cell r="A73" t="str">
            <v>1521D</v>
          </cell>
          <cell r="B73" t="str">
            <v>RB-C-1521D</v>
          </cell>
          <cell r="C73" t="str">
            <v/>
          </cell>
          <cell r="D73" t="str">
            <v/>
          </cell>
          <cell r="E73">
            <v>-1416009.11</v>
          </cell>
        </row>
        <row r="74">
          <cell r="A74" t="str">
            <v>15215</v>
          </cell>
          <cell r="B74" t="str">
            <v>RB-C-15215</v>
          </cell>
          <cell r="C74" t="str">
            <v/>
          </cell>
          <cell r="D74" t="str">
            <v>15215 Loans &gt; 1 year - employees</v>
          </cell>
          <cell r="E74">
            <v>69384446.459999993</v>
          </cell>
        </row>
        <row r="75">
          <cell r="A75" t="str">
            <v>15289</v>
          </cell>
          <cell r="B75" t="str">
            <v>RB-C-15289</v>
          </cell>
          <cell r="C75" t="str">
            <v/>
          </cell>
          <cell r="D75" t="str">
            <v>15289 Total: Loans &gt; 1 year</v>
          </cell>
          <cell r="E75">
            <v>533211266.37</v>
          </cell>
        </row>
        <row r="76">
          <cell r="A76" t="str">
            <v>1530C</v>
          </cell>
          <cell r="B76" t="str">
            <v>RB-C-1530C</v>
          </cell>
          <cell r="C76" t="str">
            <v/>
          </cell>
          <cell r="D76" t="str">
            <v/>
          </cell>
          <cell r="E76">
            <v>319283695</v>
          </cell>
        </row>
        <row r="77">
          <cell r="A77" t="str">
            <v>1530D</v>
          </cell>
          <cell r="B77" t="str">
            <v>RB-C-1530D</v>
          </cell>
          <cell r="C77" t="str">
            <v/>
          </cell>
          <cell r="D77" t="str">
            <v/>
          </cell>
          <cell r="E77">
            <v>-0.01</v>
          </cell>
        </row>
        <row r="78">
          <cell r="A78" t="str">
            <v>15305</v>
          </cell>
          <cell r="B78" t="str">
            <v>RB-C-15305</v>
          </cell>
          <cell r="C78" t="str">
            <v/>
          </cell>
          <cell r="D78" t="str">
            <v>15305 Receiv. f. fin. lease (lessor) &gt; 1 year</v>
          </cell>
          <cell r="E78">
            <v>319283694.99000001</v>
          </cell>
        </row>
        <row r="79">
          <cell r="A79" t="str">
            <v>1531E</v>
          </cell>
          <cell r="B79" t="str">
            <v>RB-C-1531E</v>
          </cell>
          <cell r="C79" t="str">
            <v/>
          </cell>
          <cell r="D79" t="str">
            <v/>
          </cell>
          <cell r="E79">
            <v>1531308915.6400001</v>
          </cell>
        </row>
        <row r="80">
          <cell r="A80" t="str">
            <v>1531F</v>
          </cell>
          <cell r="B80" t="str">
            <v>RB-C-1531F</v>
          </cell>
          <cell r="C80" t="str">
            <v/>
          </cell>
          <cell r="D80" t="str">
            <v/>
          </cell>
          <cell r="E80">
            <v>-31251202.359999999</v>
          </cell>
        </row>
        <row r="81">
          <cell r="A81" t="str">
            <v>15312</v>
          </cell>
          <cell r="B81" t="str">
            <v>RB-C-15312</v>
          </cell>
          <cell r="C81" t="str">
            <v/>
          </cell>
          <cell r="D81" t="str">
            <v>15312 Other financial receivables &gt;1 year th.</v>
          </cell>
          <cell r="E81">
            <v>1500057713.28</v>
          </cell>
        </row>
        <row r="82">
          <cell r="A82" t="str">
            <v>AN_FA</v>
          </cell>
          <cell r="B82" t="str">
            <v>RB-C-AN_FA</v>
          </cell>
          <cell r="C82" t="str">
            <v/>
          </cell>
          <cell r="D82" t="str">
            <v>Total AN_FA Total: Oth non-curr fin assets&gt;1y</v>
          </cell>
          <cell r="E82">
            <v>20748968442.759998</v>
          </cell>
        </row>
        <row r="83">
          <cell r="A83" t="str">
            <v>15315</v>
          </cell>
          <cell r="B83" t="str">
            <v>RB-C-15315</v>
          </cell>
          <cell r="C83" t="str">
            <v/>
          </cell>
          <cell r="D83" t="str">
            <v>15315 Income tax receivables &gt; 1 y</v>
          </cell>
          <cell r="E83">
            <v>32618080.219999999</v>
          </cell>
        </row>
        <row r="84">
          <cell r="A84" t="str">
            <v>AN_IT</v>
          </cell>
          <cell r="B84" t="str">
            <v>RB-C-AN_IT</v>
          </cell>
          <cell r="C84" t="str">
            <v/>
          </cell>
          <cell r="D84" t="str">
            <v>Total AN_IT Total: Income tax receivables&gt;1y</v>
          </cell>
          <cell r="E84">
            <v>32618080.219999999</v>
          </cell>
        </row>
        <row r="85">
          <cell r="A85" t="str">
            <v>1200C</v>
          </cell>
          <cell r="B85" t="str">
            <v>RB-C-1200C</v>
          </cell>
          <cell r="C85" t="str">
            <v/>
          </cell>
          <cell r="D85" t="str">
            <v>Costs</v>
          </cell>
          <cell r="E85">
            <v>3518546402.3800001</v>
          </cell>
        </row>
        <row r="86">
          <cell r="A86" t="str">
            <v>1200D</v>
          </cell>
          <cell r="B86" t="str">
            <v>RB-C-1200D</v>
          </cell>
          <cell r="C86" t="str">
            <v/>
          </cell>
          <cell r="D86" t="str">
            <v>Accumulated Depreciation</v>
          </cell>
          <cell r="E86">
            <v>-1706541778.8900001</v>
          </cell>
        </row>
        <row r="87">
          <cell r="A87" t="str">
            <v>12000</v>
          </cell>
          <cell r="B87" t="str">
            <v>RB-C-12000</v>
          </cell>
          <cell r="C87" t="str">
            <v/>
          </cell>
          <cell r="D87" t="str">
            <v>12000 Land, land rights and buildings</v>
          </cell>
          <cell r="E87">
            <v>1812004623.49</v>
          </cell>
        </row>
        <row r="88">
          <cell r="A88" t="str">
            <v>1202C</v>
          </cell>
          <cell r="B88" t="str">
            <v>RB-C-1202C</v>
          </cell>
          <cell r="C88" t="str">
            <v/>
          </cell>
          <cell r="D88" t="str">
            <v>Costs</v>
          </cell>
          <cell r="E88">
            <v>4782813092.8299999</v>
          </cell>
        </row>
        <row r="89">
          <cell r="A89" t="str">
            <v>1202D</v>
          </cell>
          <cell r="B89" t="str">
            <v>RB-C-1202D</v>
          </cell>
          <cell r="C89" t="str">
            <v/>
          </cell>
          <cell r="D89" t="str">
            <v>Accumulated Depreciation</v>
          </cell>
          <cell r="E89">
            <v>-2289696556.5500002</v>
          </cell>
        </row>
        <row r="90">
          <cell r="A90" t="str">
            <v>12020</v>
          </cell>
          <cell r="B90" t="str">
            <v>RB-C-12020</v>
          </cell>
          <cell r="C90" t="str">
            <v/>
          </cell>
          <cell r="D90" t="str">
            <v>12020 Technical plant and equipment</v>
          </cell>
          <cell r="E90">
            <v>2493116536.2800002</v>
          </cell>
        </row>
        <row r="91">
          <cell r="A91" t="str">
            <v>1203C</v>
          </cell>
          <cell r="B91" t="str">
            <v>RB-C-1203C</v>
          </cell>
          <cell r="C91" t="str">
            <v/>
          </cell>
          <cell r="D91" t="str">
            <v>Costs</v>
          </cell>
          <cell r="E91">
            <v>19647709639.419998</v>
          </cell>
        </row>
        <row r="92">
          <cell r="A92" t="str">
            <v>1203D</v>
          </cell>
          <cell r="B92" t="str">
            <v>RB-C-1203D</v>
          </cell>
          <cell r="C92" t="str">
            <v/>
          </cell>
          <cell r="D92" t="str">
            <v>Accumulated Depreciation</v>
          </cell>
          <cell r="E92">
            <v>-13315246463.950001</v>
          </cell>
        </row>
        <row r="93">
          <cell r="A93" t="str">
            <v>12030</v>
          </cell>
          <cell r="B93" t="str">
            <v>RB-C-12030</v>
          </cell>
          <cell r="C93" t="str">
            <v/>
          </cell>
          <cell r="D93" t="str">
            <v>12030 Other, office and operating equipment</v>
          </cell>
          <cell r="E93">
            <v>6332463175.4700003</v>
          </cell>
        </row>
        <row r="94">
          <cell r="A94" t="str">
            <v>1205C</v>
          </cell>
          <cell r="B94" t="str">
            <v>RB-C-1205C</v>
          </cell>
          <cell r="C94" t="str">
            <v/>
          </cell>
          <cell r="D94" t="str">
            <v>Costs</v>
          </cell>
          <cell r="E94">
            <v>1008013943.41</v>
          </cell>
        </row>
        <row r="95">
          <cell r="A95" t="str">
            <v>12050</v>
          </cell>
          <cell r="B95" t="str">
            <v>RB-C-12050</v>
          </cell>
          <cell r="C95" t="str">
            <v/>
          </cell>
          <cell r="D95" t="str">
            <v>12050 Construction in progress</v>
          </cell>
          <cell r="E95">
            <v>1008013943.41</v>
          </cell>
        </row>
        <row r="96">
          <cell r="A96" t="str">
            <v>1206C</v>
          </cell>
          <cell r="B96" t="str">
            <v>RB-C-1206C</v>
          </cell>
          <cell r="C96" t="str">
            <v/>
          </cell>
          <cell r="D96" t="str">
            <v>Costs</v>
          </cell>
          <cell r="E96">
            <v>4397320.7300000004</v>
          </cell>
        </row>
        <row r="97">
          <cell r="A97" t="str">
            <v>12061</v>
          </cell>
          <cell r="B97" t="str">
            <v>RB-C-12061</v>
          </cell>
          <cell r="C97" t="str">
            <v/>
          </cell>
          <cell r="D97" t="str">
            <v>12061 Prepayments on plant and equip 3rd,B-a</v>
          </cell>
          <cell r="E97">
            <v>4397320.7300000004</v>
          </cell>
        </row>
        <row r="98">
          <cell r="A98" t="str">
            <v>AN_TF</v>
          </cell>
          <cell r="B98" t="str">
            <v>RB-C-AN_TF</v>
          </cell>
          <cell r="C98" t="str">
            <v/>
          </cell>
          <cell r="D98" t="str">
            <v>Total AN_TF Total: Tangible fixed assets</v>
          </cell>
          <cell r="E98">
            <v>11649995599.379999</v>
          </cell>
        </row>
        <row r="99">
          <cell r="A99" t="str">
            <v>1300C</v>
          </cell>
          <cell r="B99" t="str">
            <v>RB-C-1300C</v>
          </cell>
          <cell r="C99" t="str">
            <v/>
          </cell>
          <cell r="D99" t="str">
            <v>Costs</v>
          </cell>
          <cell r="E99">
            <v>17176513859.040001</v>
          </cell>
        </row>
        <row r="100">
          <cell r="A100" t="str">
            <v>1300D</v>
          </cell>
          <cell r="B100" t="str">
            <v>RB-C-1300D</v>
          </cell>
          <cell r="C100" t="str">
            <v/>
          </cell>
          <cell r="D100" t="str">
            <v>Accumulated Depreciation</v>
          </cell>
          <cell r="E100">
            <v>-8867861867.5599995</v>
          </cell>
        </row>
        <row r="101">
          <cell r="A101" t="str">
            <v>13000</v>
          </cell>
          <cell r="B101" t="str">
            <v>RB-C-13000</v>
          </cell>
          <cell r="C101" t="str">
            <v/>
          </cell>
          <cell r="D101" t="str">
            <v>13000 Leasing land, land rights and buildings</v>
          </cell>
          <cell r="E101">
            <v>8308651991.4799995</v>
          </cell>
        </row>
        <row r="102">
          <cell r="A102" t="str">
            <v>AN_RU</v>
          </cell>
          <cell r="B102" t="str">
            <v>RB-C-AN_RU</v>
          </cell>
          <cell r="C102" t="str">
            <v/>
          </cell>
          <cell r="D102" t="str">
            <v>Total AN_RU Total: Right-of-use assets leas.</v>
          </cell>
          <cell r="E102">
            <v>8308651991.4799995</v>
          </cell>
        </row>
        <row r="103">
          <cell r="A103" t="str">
            <v>1122C</v>
          </cell>
          <cell r="B103" t="str">
            <v>RB-C-1122C</v>
          </cell>
          <cell r="C103" t="str">
            <v/>
          </cell>
          <cell r="D103" t="str">
            <v>Costs</v>
          </cell>
          <cell r="E103">
            <v>869790057.66999996</v>
          </cell>
        </row>
        <row r="104">
          <cell r="A104" t="str">
            <v>1122D</v>
          </cell>
          <cell r="B104" t="str">
            <v>RB-C-1122D</v>
          </cell>
          <cell r="C104" t="str">
            <v/>
          </cell>
          <cell r="D104" t="str">
            <v>Accumulated Depreciation</v>
          </cell>
          <cell r="E104">
            <v>-867999151.89999998</v>
          </cell>
        </row>
        <row r="105">
          <cell r="A105" t="str">
            <v>11220</v>
          </cell>
          <cell r="B105" t="str">
            <v>RB-C-11220</v>
          </cell>
          <cell r="C105" t="str">
            <v/>
          </cell>
          <cell r="D105" t="str">
            <v>11220 Software, acquired</v>
          </cell>
          <cell r="E105">
            <v>1790905.77</v>
          </cell>
        </row>
        <row r="106">
          <cell r="A106" t="str">
            <v>11299</v>
          </cell>
          <cell r="B106" t="str">
            <v>RB-C-11299</v>
          </cell>
          <cell r="C106" t="str">
            <v/>
          </cell>
          <cell r="D106" t="str">
            <v>11299 Total: Intangible assets, acquired</v>
          </cell>
          <cell r="E106">
            <v>1790905.77</v>
          </cell>
        </row>
        <row r="107">
          <cell r="A107" t="str">
            <v>AN_IA</v>
          </cell>
          <cell r="B107" t="str">
            <v>RB-C-AN_IA</v>
          </cell>
          <cell r="C107" t="str">
            <v/>
          </cell>
          <cell r="D107" t="str">
            <v>Total AN_IA Total: Intangible assets</v>
          </cell>
          <cell r="E107">
            <v>1790905.77</v>
          </cell>
        </row>
        <row r="108">
          <cell r="A108" t="str">
            <v>15300</v>
          </cell>
          <cell r="B108" t="str">
            <v>RB-C-15300</v>
          </cell>
          <cell r="C108" t="str">
            <v/>
          </cell>
          <cell r="D108" t="str">
            <v>15300 Receivables f. pensionfunds,overaccrued</v>
          </cell>
          <cell r="E108">
            <v>2076899590</v>
          </cell>
        </row>
        <row r="109">
          <cell r="A109" t="str">
            <v>15310</v>
          </cell>
          <cell r="B109" t="str">
            <v>RB-C-15310</v>
          </cell>
          <cell r="C109" t="str">
            <v/>
          </cell>
          <cell r="D109" t="str">
            <v>15310 Other sundry receiv.&gt;1 y.-Th.p.,B-c,B-f</v>
          </cell>
          <cell r="E109">
            <v>155689061.68000001</v>
          </cell>
        </row>
        <row r="110">
          <cell r="A110" t="str">
            <v>15316</v>
          </cell>
          <cell r="B110" t="str">
            <v>RB-C-15316</v>
          </cell>
          <cell r="C110" t="str">
            <v/>
          </cell>
          <cell r="D110" t="str">
            <v>15316 Other tax receivables &gt; 1 year</v>
          </cell>
          <cell r="E110">
            <v>3932593932.4200001</v>
          </cell>
        </row>
        <row r="111">
          <cell r="A111" t="str">
            <v>AN_OA</v>
          </cell>
          <cell r="B111" t="str">
            <v>RB-C-AN_OA</v>
          </cell>
          <cell r="C111" t="str">
            <v/>
          </cell>
          <cell r="D111" t="str">
            <v>Total AN_OA Total: Other non-current assets</v>
          </cell>
          <cell r="E111">
            <v>6165182584.1000004</v>
          </cell>
        </row>
        <row r="112">
          <cell r="A112" t="str">
            <v>15600</v>
          </cell>
          <cell r="B112" t="str">
            <v>RB-C-15600</v>
          </cell>
          <cell r="C112" t="str">
            <v/>
          </cell>
          <cell r="D112" t="str">
            <v>15600 Deferred tax assets</v>
          </cell>
          <cell r="E112">
            <v>2529714494.77</v>
          </cell>
        </row>
        <row r="113">
          <cell r="A113" t="str">
            <v>AN_DT</v>
          </cell>
          <cell r="B113" t="str">
            <v>RB-C-AN_DT</v>
          </cell>
          <cell r="C113" t="str">
            <v/>
          </cell>
          <cell r="D113" t="str">
            <v>Total AN_DT Total: Deferred tax assets</v>
          </cell>
          <cell r="E113">
            <v>2529714494.77</v>
          </cell>
        </row>
        <row r="114">
          <cell r="A114" t="str">
            <v>AN_TO</v>
          </cell>
          <cell r="B114" t="str">
            <v>RB-C-AN_TO</v>
          </cell>
          <cell r="C114" t="str">
            <v/>
          </cell>
          <cell r="D114" t="str">
            <v>Total AN_TO Total: Non-current assets</v>
          </cell>
          <cell r="E114">
            <v>49436922098.480003</v>
          </cell>
        </row>
        <row r="115">
          <cell r="A115" t="str">
            <v>A_TOT</v>
          </cell>
          <cell r="B115" t="str">
            <v>RB-C-A_TOT</v>
          </cell>
          <cell r="C115" t="str">
            <v/>
          </cell>
          <cell r="D115" t="str">
            <v>Total A_TOT Total: Assets</v>
          </cell>
          <cell r="E115">
            <v>103302194458.03</v>
          </cell>
        </row>
        <row r="116">
          <cell r="A116" t="str">
            <v>20100</v>
          </cell>
          <cell r="B116" t="str">
            <v>RB-C-20100</v>
          </cell>
          <cell r="C116" t="str">
            <v/>
          </cell>
          <cell r="D116" t="str">
            <v>20100 Trade payables  - Third parties,B-c,B-f</v>
          </cell>
          <cell r="E116">
            <v>-7963546834.4399996</v>
          </cell>
        </row>
        <row r="117">
          <cell r="A117" t="str">
            <v>2012I</v>
          </cell>
          <cell r="B117" t="str">
            <v>RB-C-2012I</v>
          </cell>
          <cell r="C117" t="str">
            <v/>
          </cell>
          <cell r="D117" t="str">
            <v>Trade payables - K - Intrasegment</v>
          </cell>
          <cell r="E117">
            <v>-4296996330.5</v>
          </cell>
        </row>
        <row r="118">
          <cell r="A118" t="str">
            <v>20120</v>
          </cell>
          <cell r="B118" t="str">
            <v>RB-C-20120</v>
          </cell>
          <cell r="C118" t="str">
            <v/>
          </cell>
          <cell r="D118" t="str">
            <v>20120 Trade payables - K</v>
          </cell>
          <cell r="E118">
            <v>-4296996330.5</v>
          </cell>
        </row>
        <row r="119">
          <cell r="A119" t="str">
            <v>2012L</v>
          </cell>
          <cell r="B119" t="str">
            <v>RB-C-2012L</v>
          </cell>
          <cell r="C119" t="str">
            <v/>
          </cell>
          <cell r="D119" t="str">
            <v/>
          </cell>
          <cell r="E119">
            <v>-237931544.69999999</v>
          </cell>
        </row>
        <row r="120">
          <cell r="A120" t="str">
            <v>20125</v>
          </cell>
          <cell r="B120" t="str">
            <v>RB-C-20125</v>
          </cell>
          <cell r="C120" t="str">
            <v/>
          </cell>
          <cell r="D120" t="str">
            <v/>
          </cell>
          <cell r="E120">
            <v>-237931544.69999999</v>
          </cell>
        </row>
        <row r="121">
          <cell r="A121" t="str">
            <v>20140</v>
          </cell>
          <cell r="B121" t="str">
            <v>RB-C-20140</v>
          </cell>
          <cell r="C121" t="str">
            <v/>
          </cell>
          <cell r="D121" t="str">
            <v>20140 Trade payables - N</v>
          </cell>
          <cell r="E121">
            <v>-44746309</v>
          </cell>
        </row>
        <row r="122">
          <cell r="A122" t="str">
            <v>20179</v>
          </cell>
          <cell r="B122" t="str">
            <v>RB-C-20179</v>
          </cell>
          <cell r="C122" t="str">
            <v/>
          </cell>
          <cell r="D122" t="str">
            <v>20179 Total: Trade payables</v>
          </cell>
          <cell r="E122">
            <v>-12543221018.639999</v>
          </cell>
        </row>
        <row r="123">
          <cell r="A123" t="str">
            <v>LC_AP</v>
          </cell>
          <cell r="B123" t="str">
            <v>RB-C-LC_AP</v>
          </cell>
          <cell r="C123" t="str">
            <v/>
          </cell>
          <cell r="D123" t="str">
            <v>Total LC_AP Total:Trade payab. and notes pay.</v>
          </cell>
          <cell r="E123">
            <v>-12543221018.639999</v>
          </cell>
        </row>
        <row r="124">
          <cell r="A124" t="str">
            <v>21500</v>
          </cell>
          <cell r="B124" t="str">
            <v>RB-C-21500</v>
          </cell>
          <cell r="C124" t="str">
            <v/>
          </cell>
          <cell r="D124" t="str">
            <v>21500 Lease liabilities (lessee) &lt; 1 y</v>
          </cell>
          <cell r="E124">
            <v>-2297422949.1199999</v>
          </cell>
        </row>
        <row r="125">
          <cell r="A125" t="str">
            <v>LC_LL</v>
          </cell>
          <cell r="B125" t="str">
            <v>RB-C-LC_LL</v>
          </cell>
          <cell r="C125" t="str">
            <v/>
          </cell>
          <cell r="D125" t="str">
            <v>Total LC_LL Lease liabilities (lessee) &lt; 1 y</v>
          </cell>
          <cell r="E125">
            <v>-2297422949.1199999</v>
          </cell>
        </row>
        <row r="126">
          <cell r="A126" t="str">
            <v>21305</v>
          </cell>
          <cell r="B126" t="str">
            <v>RB-C-21305</v>
          </cell>
          <cell r="C126" t="str">
            <v/>
          </cell>
          <cell r="D126" t="str">
            <v>21305 Derivatives w/o hedge &lt; 1 y - 3r</v>
          </cell>
          <cell r="E126">
            <v>-566106006.01999998</v>
          </cell>
        </row>
        <row r="127">
          <cell r="A127" t="str">
            <v>21318</v>
          </cell>
          <cell r="B127" t="str">
            <v>RB-C-21318</v>
          </cell>
          <cell r="C127" t="str">
            <v/>
          </cell>
          <cell r="D127" t="str">
            <v>21318 Other financial liabilities &lt; 1 year th</v>
          </cell>
          <cell r="E127">
            <v>-1206441268.1800001</v>
          </cell>
        </row>
        <row r="128">
          <cell r="A128" t="str">
            <v>21324</v>
          </cell>
          <cell r="B128" t="str">
            <v>RB-C-21324</v>
          </cell>
          <cell r="C128" t="str">
            <v/>
          </cell>
          <cell r="D128" t="str">
            <v>21324 Debtors with credit balances K</v>
          </cell>
          <cell r="E128">
            <v>-8816775.7699999996</v>
          </cell>
        </row>
        <row r="129">
          <cell r="A129" t="str">
            <v>21391</v>
          </cell>
          <cell r="B129" t="str">
            <v>RB-C-21391</v>
          </cell>
          <cell r="C129" t="str">
            <v/>
          </cell>
          <cell r="D129" t="str">
            <v>21391 Financial liabil. to board members, emp</v>
          </cell>
          <cell r="E129">
            <v>102783208.72</v>
          </cell>
        </row>
        <row r="130">
          <cell r="A130" t="str">
            <v>LC_FL</v>
          </cell>
          <cell r="B130" t="str">
            <v>RB-C-LC_FL</v>
          </cell>
          <cell r="C130" t="str">
            <v/>
          </cell>
          <cell r="D130" t="str">
            <v>Total LC_FL Total: Financial liabilities &lt; 1y</v>
          </cell>
          <cell r="E130">
            <v>-1678580841.25</v>
          </cell>
        </row>
        <row r="131">
          <cell r="A131" t="str">
            <v>20200</v>
          </cell>
          <cell r="B131" t="str">
            <v>RB-C-20200</v>
          </cell>
          <cell r="C131" t="str">
            <v/>
          </cell>
          <cell r="D131" t="str">
            <v>20200 CL: Sales over time &lt; 1 y - 3rd, N, B-a</v>
          </cell>
          <cell r="E131">
            <v>-189093491.71000001</v>
          </cell>
        </row>
        <row r="132">
          <cell r="A132" t="str">
            <v>20210</v>
          </cell>
          <cell r="B132" t="str">
            <v>RB-C-20210</v>
          </cell>
          <cell r="C132" t="str">
            <v/>
          </cell>
          <cell r="D132" t="str">
            <v>20210 CL: Prepayment received&lt;1 yr 3rd,N, etc</v>
          </cell>
          <cell r="E132">
            <v>-508161963.61000001</v>
          </cell>
        </row>
        <row r="133">
          <cell r="A133" t="str">
            <v>20220</v>
          </cell>
          <cell r="B133" t="str">
            <v>RB-C-20220</v>
          </cell>
          <cell r="C133" t="str">
            <v/>
          </cell>
          <cell r="D133" t="str">
            <v>20220 CL: Prepayments received &lt;1 year K</v>
          </cell>
          <cell r="E133">
            <v>-46465753.880000003</v>
          </cell>
        </row>
        <row r="134">
          <cell r="A134" t="str">
            <v>LC_CL</v>
          </cell>
          <cell r="B134" t="str">
            <v>RB-C-LC_CL</v>
          </cell>
          <cell r="C134" t="str">
            <v/>
          </cell>
          <cell r="D134" t="str">
            <v>Total LC_CL Total: Ctr. liabilities (CL) &lt; 1y</v>
          </cell>
          <cell r="E134">
            <v>-743721209.20000005</v>
          </cell>
        </row>
        <row r="135">
          <cell r="A135" t="str">
            <v>21200</v>
          </cell>
          <cell r="B135" t="str">
            <v>RB-C-21200</v>
          </cell>
          <cell r="C135" t="str">
            <v/>
          </cell>
          <cell r="D135" t="str">
            <v>21200 Income tax liabilities</v>
          </cell>
          <cell r="E135">
            <v>0.39</v>
          </cell>
        </row>
        <row r="136">
          <cell r="A136" t="str">
            <v>LC_IT</v>
          </cell>
          <cell r="B136" t="str">
            <v>RB-C-LC_IT</v>
          </cell>
          <cell r="C136" t="str">
            <v/>
          </cell>
          <cell r="D136" t="str">
            <v>Total LC_IT Total: Income tax liabilities &lt;1y</v>
          </cell>
          <cell r="E136">
            <v>0.39</v>
          </cell>
        </row>
        <row r="137">
          <cell r="A137" t="str">
            <v>21005</v>
          </cell>
          <cell r="B137" t="str">
            <v>RB-C-21005</v>
          </cell>
          <cell r="C137" t="str">
            <v/>
          </cell>
          <cell r="D137" t="str">
            <v>21005 Ac.liab.: Bonuses, profit participation</v>
          </cell>
          <cell r="E137">
            <v>-8903868088</v>
          </cell>
        </row>
        <row r="138">
          <cell r="A138" t="str">
            <v>21015</v>
          </cell>
          <cell r="B138" t="str">
            <v>RB-C-21015</v>
          </cell>
          <cell r="C138" t="str">
            <v/>
          </cell>
          <cell r="D138" t="str">
            <v>21015 Ac.liab.: Personnel related, others</v>
          </cell>
          <cell r="E138">
            <v>-342519492</v>
          </cell>
        </row>
        <row r="139">
          <cell r="A139" t="str">
            <v>21119</v>
          </cell>
          <cell r="B139" t="str">
            <v>RB-C-21119</v>
          </cell>
          <cell r="C139" t="str">
            <v/>
          </cell>
          <cell r="D139" t="str">
            <v>21119 Total: Accrued liab. personnel related</v>
          </cell>
          <cell r="E139">
            <v>-9246387580</v>
          </cell>
        </row>
        <row r="140">
          <cell r="A140" t="str">
            <v>21144</v>
          </cell>
          <cell r="B140" t="str">
            <v>RB-C-21144</v>
          </cell>
          <cell r="C140" t="str">
            <v/>
          </cell>
          <cell r="D140" t="str">
            <v>21144 Ac.liab.: outstanding invoices</v>
          </cell>
          <cell r="E140">
            <v>-98754764.379999995</v>
          </cell>
        </row>
        <row r="141">
          <cell r="A141" t="str">
            <v>21179</v>
          </cell>
          <cell r="B141" t="str">
            <v>RB-C-21179</v>
          </cell>
          <cell r="C141" t="str">
            <v/>
          </cell>
          <cell r="D141" t="str">
            <v>21179 Total: Other accrued liabilities</v>
          </cell>
          <cell r="E141">
            <v>-98754764.379999995</v>
          </cell>
        </row>
        <row r="142">
          <cell r="A142" t="str">
            <v>21189</v>
          </cell>
          <cell r="B142" t="str">
            <v>RB-C-21189</v>
          </cell>
          <cell r="C142" t="str">
            <v/>
          </cell>
          <cell r="D142" t="str">
            <v>21189 Total: Accrued liabilities</v>
          </cell>
          <cell r="E142">
            <v>-9345142344.3799992</v>
          </cell>
        </row>
        <row r="143">
          <cell r="A143" t="str">
            <v>2121A</v>
          </cell>
          <cell r="B143" t="str">
            <v>RB-C-2121A</v>
          </cell>
          <cell r="C143" t="str">
            <v/>
          </cell>
          <cell r="D143" t="str">
            <v/>
          </cell>
          <cell r="E143">
            <v>-758225249.22000003</v>
          </cell>
        </row>
        <row r="144">
          <cell r="A144" t="str">
            <v>212JP</v>
          </cell>
          <cell r="B144" t="str">
            <v>RB-C-212JP</v>
          </cell>
          <cell r="C144" t="str">
            <v/>
          </cell>
          <cell r="D144" t="str">
            <v/>
          </cell>
          <cell r="E144">
            <v>-27336497.43</v>
          </cell>
        </row>
        <row r="145">
          <cell r="A145" t="str">
            <v>21210</v>
          </cell>
          <cell r="B145" t="str">
            <v>RB-C-21210</v>
          </cell>
          <cell r="C145" t="str">
            <v/>
          </cell>
          <cell r="D145" t="str">
            <v>21210 Other tax liabilities</v>
          </cell>
          <cell r="E145">
            <v>-785561746.64999998</v>
          </cell>
        </row>
        <row r="146">
          <cell r="A146" t="str">
            <v>21310</v>
          </cell>
          <cell r="B146" t="str">
            <v>RB-C-21310</v>
          </cell>
          <cell r="C146" t="str">
            <v/>
          </cell>
          <cell r="D146" t="str">
            <v>21310 Oth.sundry liab. =&lt;1 y.-Th.p., B-c, B-f</v>
          </cell>
          <cell r="E146">
            <v>-39957942.600000001</v>
          </cell>
        </row>
        <row r="147">
          <cell r="A147" t="str">
            <v>21317</v>
          </cell>
          <cell r="B147" t="str">
            <v>RB-C-21317</v>
          </cell>
          <cell r="C147" t="str">
            <v/>
          </cell>
          <cell r="D147" t="str">
            <v>21317 Liabilities from social security</v>
          </cell>
          <cell r="E147">
            <v>-247684755.78</v>
          </cell>
        </row>
        <row r="148">
          <cell r="A148" t="str">
            <v>21320</v>
          </cell>
          <cell r="B148" t="str">
            <v>RB-C-21320</v>
          </cell>
          <cell r="C148" t="str">
            <v/>
          </cell>
          <cell r="D148" t="str">
            <v>21320 Other sundry liabilities =&lt; 1 year - K</v>
          </cell>
          <cell r="E148">
            <v>-18546832</v>
          </cell>
        </row>
        <row r="149">
          <cell r="A149" t="str">
            <v>21390</v>
          </cell>
          <cell r="B149" t="str">
            <v>RB-C-21390</v>
          </cell>
          <cell r="C149" t="str">
            <v/>
          </cell>
          <cell r="D149" t="str">
            <v>21390 Liabil. to board memb., employees =&lt;1 y</v>
          </cell>
          <cell r="E149">
            <v>-1351324354.48</v>
          </cell>
        </row>
        <row r="150">
          <cell r="A150" t="str">
            <v>LC_OL</v>
          </cell>
          <cell r="B150" t="str">
            <v>RB-C-LC_OL</v>
          </cell>
          <cell r="C150" t="str">
            <v/>
          </cell>
          <cell r="D150" t="str">
            <v>Total LC_OL Total: Other liabilities &lt; 1 y</v>
          </cell>
          <cell r="E150">
            <v>-11788217975.889999</v>
          </cell>
        </row>
        <row r="151">
          <cell r="A151" t="str">
            <v>23305</v>
          </cell>
          <cell r="B151" t="str">
            <v>RB-C-23305</v>
          </cell>
          <cell r="C151" t="str">
            <v/>
          </cell>
          <cell r="D151" t="str">
            <v>23305 Prov. f. employee anniversaries current</v>
          </cell>
          <cell r="E151">
            <v>-222296331</v>
          </cell>
        </row>
        <row r="152">
          <cell r="A152" t="str">
            <v>23315</v>
          </cell>
          <cell r="B152" t="str">
            <v>RB-C-23315</v>
          </cell>
          <cell r="C152" t="str">
            <v/>
          </cell>
          <cell r="D152" t="str">
            <v>23315 Provisions for deferred hours current</v>
          </cell>
          <cell r="E152">
            <v>-868550566</v>
          </cell>
        </row>
        <row r="153">
          <cell r="A153" t="str">
            <v>23318</v>
          </cell>
          <cell r="B153" t="str">
            <v>RB-C-23318</v>
          </cell>
          <cell r="C153" t="str">
            <v/>
          </cell>
          <cell r="D153" t="str">
            <v>23318 Other personnel related prov. current</v>
          </cell>
          <cell r="E153">
            <v>-3657810000</v>
          </cell>
        </row>
        <row r="154">
          <cell r="A154" t="str">
            <v>23319</v>
          </cell>
          <cell r="B154" t="str">
            <v>RB-C-23319</v>
          </cell>
          <cell r="C154" t="str">
            <v/>
          </cell>
          <cell r="D154" t="str">
            <v>23319 Personnel related provisions &lt; 1 y</v>
          </cell>
          <cell r="E154">
            <v>-4748656897</v>
          </cell>
        </row>
        <row r="155">
          <cell r="A155" t="str">
            <v>23321</v>
          </cell>
          <cell r="B155" t="str">
            <v>RB-C-23321</v>
          </cell>
          <cell r="C155" t="str">
            <v/>
          </cell>
          <cell r="D155" t="str">
            <v>23321 Prov. for warr. comm. - general current</v>
          </cell>
          <cell r="E155">
            <v>-53750617.939999998</v>
          </cell>
        </row>
        <row r="156">
          <cell r="A156" t="str">
            <v>23339</v>
          </cell>
          <cell r="B156" t="str">
            <v>RB-C-23339</v>
          </cell>
          <cell r="C156" t="str">
            <v/>
          </cell>
          <cell r="D156" t="str">
            <v>23339 Sales related provisions &lt; 1 y</v>
          </cell>
          <cell r="E156">
            <v>-53750617.939999998</v>
          </cell>
        </row>
        <row r="157">
          <cell r="A157" t="str">
            <v>23368</v>
          </cell>
          <cell r="B157" t="str">
            <v>RB-C-23368</v>
          </cell>
          <cell r="C157" t="str">
            <v/>
          </cell>
          <cell r="D157" t="str">
            <v>23368 Prov. for tax penalties</v>
          </cell>
          <cell r="E157">
            <v>-1781933553</v>
          </cell>
        </row>
        <row r="158">
          <cell r="A158" t="str">
            <v>23369</v>
          </cell>
          <cell r="B158" t="str">
            <v>RB-C-23369</v>
          </cell>
          <cell r="C158" t="str">
            <v/>
          </cell>
          <cell r="D158" t="str">
            <v>23369 Sundry other provisions &lt; 1 y</v>
          </cell>
          <cell r="E158">
            <v>-1781933553</v>
          </cell>
        </row>
        <row r="159">
          <cell r="A159" t="str">
            <v>LC_PR</v>
          </cell>
          <cell r="B159" t="str">
            <v>RB-C-LC_PR</v>
          </cell>
          <cell r="C159" t="str">
            <v/>
          </cell>
          <cell r="D159" t="str">
            <v>Total LC_PR Total: Current provisions</v>
          </cell>
          <cell r="E159">
            <v>-6584341067.9399996</v>
          </cell>
        </row>
        <row r="160">
          <cell r="A160" t="str">
            <v>LC_TO</v>
          </cell>
          <cell r="B160" t="str">
            <v>RB-C-LC_TO</v>
          </cell>
          <cell r="C160" t="str">
            <v/>
          </cell>
          <cell r="D160" t="str">
            <v>Total LC_TO Total: Current liabilities</v>
          </cell>
          <cell r="E160">
            <v>-35635505061.650002</v>
          </cell>
        </row>
        <row r="161">
          <cell r="A161" t="str">
            <v>24500</v>
          </cell>
          <cell r="B161" t="str">
            <v>RB-C-24500</v>
          </cell>
          <cell r="C161" t="str">
            <v/>
          </cell>
          <cell r="D161" t="str">
            <v>24500 Lease liabilities (lessee) &gt; 1 y</v>
          </cell>
          <cell r="E161">
            <v>-7703310272.9899998</v>
          </cell>
        </row>
        <row r="162">
          <cell r="A162" t="str">
            <v>LN_LL</v>
          </cell>
          <cell r="B162" t="str">
            <v>RB-C-LN_LL</v>
          </cell>
          <cell r="C162" t="str">
            <v/>
          </cell>
          <cell r="D162" t="str">
            <v>Total LN_LL Total: Lease liab.(lessee)&gt;1y</v>
          </cell>
          <cell r="E162">
            <v>-7703310272.9899998</v>
          </cell>
        </row>
        <row r="163">
          <cell r="A163" t="str">
            <v>24380</v>
          </cell>
          <cell r="B163" t="str">
            <v>RB-C-24380</v>
          </cell>
          <cell r="C163" t="str">
            <v/>
          </cell>
          <cell r="D163" t="str">
            <v>24380 Liabil. to board memb.,employees &gt; 1 y.</v>
          </cell>
          <cell r="E163">
            <v>-227688916.59</v>
          </cell>
        </row>
        <row r="164">
          <cell r="A164" t="str">
            <v>LN_OL</v>
          </cell>
          <cell r="B164" t="str">
            <v>RB-C-LN_OL</v>
          </cell>
          <cell r="C164" t="str">
            <v/>
          </cell>
          <cell r="D164" t="str">
            <v>Total LN_OL Total: Other Liabilities &gt; 1 y</v>
          </cell>
          <cell r="E164">
            <v>-227688916.59</v>
          </cell>
        </row>
        <row r="165">
          <cell r="A165" t="str">
            <v>24060</v>
          </cell>
          <cell r="B165" t="str">
            <v>RB-C-24060</v>
          </cell>
          <cell r="C165" t="str">
            <v/>
          </cell>
          <cell r="D165" t="str">
            <v>24060 Provisions for pensions, similar oblig.</v>
          </cell>
          <cell r="E165">
            <v>0.82</v>
          </cell>
        </row>
        <row r="166">
          <cell r="A166" t="str">
            <v>LN_PP</v>
          </cell>
          <cell r="B166" t="str">
            <v>RB-C-LN_PP</v>
          </cell>
          <cell r="C166" t="str">
            <v/>
          </cell>
          <cell r="D166" t="str">
            <v>Total LN_PP Total: Provisions for pensions</v>
          </cell>
          <cell r="E166">
            <v>0.82</v>
          </cell>
        </row>
        <row r="167">
          <cell r="A167" t="str">
            <v>27050</v>
          </cell>
          <cell r="B167" t="str">
            <v>RB-C-27050</v>
          </cell>
          <cell r="C167" t="str">
            <v/>
          </cell>
          <cell r="D167" t="str">
            <v>27050 Income tax provisions &gt; 1 y</v>
          </cell>
          <cell r="E167">
            <v>0.44</v>
          </cell>
        </row>
        <row r="168">
          <cell r="A168" t="str">
            <v>LN_TP</v>
          </cell>
          <cell r="B168" t="str">
            <v>RB-C-LN_TP</v>
          </cell>
          <cell r="C168" t="str">
            <v/>
          </cell>
          <cell r="D168" t="str">
            <v>Total LN_TP Total: Income tax provisions &gt; 1y</v>
          </cell>
          <cell r="E168">
            <v>0.44</v>
          </cell>
        </row>
        <row r="169">
          <cell r="A169" t="str">
            <v>27105</v>
          </cell>
          <cell r="B169" t="str">
            <v>RB-C-27105</v>
          </cell>
          <cell r="C169" t="str">
            <v/>
          </cell>
          <cell r="D169" t="str">
            <v>27105 Prov. f. employ.anniversaries non curr.</v>
          </cell>
          <cell r="E169">
            <v>-1990062633</v>
          </cell>
        </row>
        <row r="170">
          <cell r="A170" t="str">
            <v>27115</v>
          </cell>
          <cell r="B170" t="str">
            <v>RB-C-27115</v>
          </cell>
          <cell r="C170" t="str">
            <v/>
          </cell>
          <cell r="D170" t="str">
            <v>27115 Provisions for deferred hours non curr.</v>
          </cell>
          <cell r="E170">
            <v>-4137278281.3499999</v>
          </cell>
        </row>
        <row r="171">
          <cell r="A171" t="str">
            <v>27119</v>
          </cell>
          <cell r="B171" t="str">
            <v>RB-C-27119</v>
          </cell>
          <cell r="C171" t="str">
            <v/>
          </cell>
          <cell r="D171" t="str">
            <v>27119 Personnel related provisions &gt; 1 y</v>
          </cell>
          <cell r="E171">
            <v>-6127340914.3500004</v>
          </cell>
        </row>
        <row r="172">
          <cell r="A172" t="str">
            <v>LN_PR</v>
          </cell>
          <cell r="B172" t="str">
            <v>RB-C-LN_PR</v>
          </cell>
          <cell r="C172" t="str">
            <v/>
          </cell>
          <cell r="D172" t="str">
            <v>Total LN_PR Total: Non-current provisions</v>
          </cell>
          <cell r="E172">
            <v>-6127340914.3500004</v>
          </cell>
        </row>
        <row r="173">
          <cell r="A173" t="str">
            <v>LN_TO</v>
          </cell>
          <cell r="B173" t="str">
            <v>RB-C-LN_TO</v>
          </cell>
          <cell r="C173" t="str">
            <v/>
          </cell>
          <cell r="D173" t="str">
            <v>Total LN_TO Total: Non-current liabilities</v>
          </cell>
          <cell r="E173">
            <v>-14058340102.67</v>
          </cell>
        </row>
        <row r="174">
          <cell r="A174" t="str">
            <v>29000</v>
          </cell>
          <cell r="B174" t="str">
            <v>RB-C-29000</v>
          </cell>
          <cell r="C174" t="str">
            <v/>
          </cell>
          <cell r="D174" t="str">
            <v>29000 Subscribed capital</v>
          </cell>
          <cell r="E174">
            <v>-41597800</v>
          </cell>
        </row>
        <row r="175">
          <cell r="A175" t="str">
            <v>29305</v>
          </cell>
          <cell r="B175" t="str">
            <v>RB-C-29305</v>
          </cell>
          <cell r="C175" t="str">
            <v/>
          </cell>
          <cell r="D175" t="str">
            <v>29305 Statutory reserves</v>
          </cell>
          <cell r="E175">
            <v>-12388718192.41</v>
          </cell>
        </row>
        <row r="176">
          <cell r="A176" t="str">
            <v>29330</v>
          </cell>
          <cell r="B176" t="str">
            <v>RB-C-29330</v>
          </cell>
          <cell r="C176" t="str">
            <v/>
          </cell>
          <cell r="D176" t="str">
            <v>29330 OCI: Actuarial gains/losses-gross</v>
          </cell>
          <cell r="E176">
            <v>-777957109.69000006</v>
          </cell>
        </row>
        <row r="177">
          <cell r="A177" t="str">
            <v>29331</v>
          </cell>
          <cell r="B177" t="str">
            <v>RB-C-29331</v>
          </cell>
          <cell r="C177" t="str">
            <v/>
          </cell>
          <cell r="D177" t="str">
            <v>29331 OCI: Actuarial gains/losses-def. taxes</v>
          </cell>
          <cell r="E177">
            <v>195796125.81999999</v>
          </cell>
        </row>
        <row r="178">
          <cell r="A178" t="str">
            <v>29332</v>
          </cell>
          <cell r="B178" t="str">
            <v>RB-C-29332</v>
          </cell>
          <cell r="C178" t="str">
            <v/>
          </cell>
          <cell r="D178" t="str">
            <v>29332 OCI: Actuarial gains/losses-net</v>
          </cell>
          <cell r="E178">
            <v>-582160983.87</v>
          </cell>
        </row>
        <row r="179">
          <cell r="A179" t="str">
            <v>2935A</v>
          </cell>
          <cell r="B179" t="str">
            <v>RB-C-2935A</v>
          </cell>
          <cell r="C179" t="str">
            <v/>
          </cell>
          <cell r="D179" t="str">
            <v/>
          </cell>
          <cell r="E179">
            <v>-22257674948.66</v>
          </cell>
        </row>
        <row r="180">
          <cell r="A180" t="str">
            <v>4</v>
          </cell>
          <cell r="B180" t="str">
            <v>4</v>
          </cell>
          <cell r="C180" t="str">
            <v/>
          </cell>
          <cell r="D180" t="str">
            <v>Net result: profit</v>
          </cell>
          <cell r="E180">
            <v>-18215609768.77</v>
          </cell>
        </row>
        <row r="181">
          <cell r="A181" t="str">
            <v>2935B</v>
          </cell>
          <cell r="B181" t="str">
            <v>RB-C-2935B</v>
          </cell>
          <cell r="C181" t="str">
            <v/>
          </cell>
          <cell r="D181" t="str">
            <v/>
          </cell>
          <cell r="E181">
            <v>-18215609768.77</v>
          </cell>
        </row>
        <row r="182">
          <cell r="A182" t="str">
            <v>29350</v>
          </cell>
          <cell r="B182" t="str">
            <v>RB-C-29350</v>
          </cell>
          <cell r="C182" t="str">
            <v/>
          </cell>
          <cell r="D182" t="str">
            <v>29350 Other revenue reserves</v>
          </cell>
          <cell r="E182">
            <v>-40473284717.43</v>
          </cell>
        </row>
        <row r="183">
          <cell r="A183" t="str">
            <v>29355</v>
          </cell>
          <cell r="B183" t="str">
            <v>RB-C-29355</v>
          </cell>
          <cell r="C183" t="str">
            <v/>
          </cell>
          <cell r="D183" t="str">
            <v>Total 29355 Oth.rev.K-int.Transf</v>
          </cell>
          <cell r="E183">
            <v>-122587600</v>
          </cell>
        </row>
        <row r="184">
          <cell r="A184" t="str">
            <v>29399</v>
          </cell>
          <cell r="B184" t="str">
            <v>RB-C-29399</v>
          </cell>
          <cell r="C184" t="str">
            <v/>
          </cell>
          <cell r="D184" t="str">
            <v>29399 Total: Earned surplus reserves</v>
          </cell>
          <cell r="E184">
            <v>-53566751493.709999</v>
          </cell>
        </row>
        <row r="185">
          <cell r="A185" t="str">
            <v>L_EQT</v>
          </cell>
          <cell r="B185" t="str">
            <v>RB-C-L_EQT</v>
          </cell>
          <cell r="C185" t="str">
            <v/>
          </cell>
          <cell r="D185" t="str">
            <v>Total L_EQT Total: Equity</v>
          </cell>
          <cell r="E185">
            <v>-53608349293.709999</v>
          </cell>
        </row>
        <row r="186">
          <cell r="A186" t="str">
            <v>L_TOT</v>
          </cell>
          <cell r="B186" t="str">
            <v>RB-C-L_TOT</v>
          </cell>
          <cell r="C186" t="str">
            <v/>
          </cell>
          <cell r="D186" t="str">
            <v>Total L_TOT Total: Liabilities and equity</v>
          </cell>
          <cell r="E186">
            <v>-103302194458.03</v>
          </cell>
        </row>
        <row r="187">
          <cell r="A187" t="str">
            <v>400</v>
          </cell>
          <cell r="B187" t="str">
            <v>400</v>
          </cell>
          <cell r="C187" t="str">
            <v/>
          </cell>
          <cell r="D187" t="str">
            <v>Total Remuneration</v>
          </cell>
          <cell r="E187">
            <v>48108718138.440002</v>
          </cell>
        </row>
        <row r="188">
          <cell r="A188" t="str">
            <v>402</v>
          </cell>
          <cell r="B188" t="str">
            <v>402</v>
          </cell>
          <cell r="C188" t="str">
            <v/>
          </cell>
          <cell r="D188" t="str">
            <v>Total Remuneration for paid leave</v>
          </cell>
          <cell r="E188">
            <v>524005358.76999998</v>
          </cell>
        </row>
        <row r="189">
          <cell r="A189" t="str">
            <v>403</v>
          </cell>
          <cell r="B189" t="str">
            <v>403</v>
          </cell>
          <cell r="C189" t="str">
            <v/>
          </cell>
          <cell r="D189" t="str">
            <v>Total Compens. overtime &amp; extra pay for shift</v>
          </cell>
          <cell r="E189">
            <v>28436675</v>
          </cell>
        </row>
        <row r="190">
          <cell r="A190" t="str">
            <v>404</v>
          </cell>
          <cell r="B190" t="str">
            <v>404</v>
          </cell>
          <cell r="C190" t="str">
            <v/>
          </cell>
          <cell r="D190" t="str">
            <v>Total Bonuses</v>
          </cell>
          <cell r="E190">
            <v>3366116663.8200002</v>
          </cell>
        </row>
        <row r="191">
          <cell r="A191" t="str">
            <v>4062</v>
          </cell>
          <cell r="B191" t="str">
            <v>4062</v>
          </cell>
          <cell r="C191" t="str">
            <v/>
          </cell>
          <cell r="D191" t="str">
            <v/>
          </cell>
          <cell r="E191">
            <v>4180751023.0900002</v>
          </cell>
        </row>
        <row r="192">
          <cell r="A192" t="str">
            <v>94011</v>
          </cell>
          <cell r="B192" t="str">
            <v>RB-C-94011</v>
          </cell>
          <cell r="C192" t="str">
            <v/>
          </cell>
          <cell r="D192" t="str">
            <v>94011 Personnel expenses - remuneration</v>
          </cell>
          <cell r="E192">
            <v>56208027859.120003</v>
          </cell>
        </row>
        <row r="193">
          <cell r="A193" t="str">
            <v>4060</v>
          </cell>
          <cell r="B193" t="str">
            <v>4060</v>
          </cell>
          <cell r="C193" t="str">
            <v/>
          </cell>
          <cell r="D193" t="str">
            <v/>
          </cell>
          <cell r="E193">
            <v>414941909</v>
          </cell>
        </row>
        <row r="194">
          <cell r="A194" t="str">
            <v>94012</v>
          </cell>
          <cell r="B194" t="str">
            <v>RB-C-94012</v>
          </cell>
          <cell r="C194" t="str">
            <v/>
          </cell>
          <cell r="D194" t="str">
            <v>94012 Personnel expenses - social security</v>
          </cell>
          <cell r="E194">
            <v>414941909</v>
          </cell>
        </row>
        <row r="195">
          <cell r="A195" t="str">
            <v>4050</v>
          </cell>
          <cell r="B195" t="str">
            <v>4050</v>
          </cell>
          <cell r="C195" t="str">
            <v/>
          </cell>
          <cell r="D195" t="str">
            <v/>
          </cell>
          <cell r="E195">
            <v>1582107354.9300001</v>
          </cell>
        </row>
        <row r="196">
          <cell r="A196" t="str">
            <v>94013</v>
          </cell>
          <cell r="B196" t="str">
            <v>RB-C-94013</v>
          </cell>
          <cell r="C196" t="str">
            <v/>
          </cell>
          <cell r="D196" t="str">
            <v>94013 Personnel expenses - pension costs</v>
          </cell>
          <cell r="E196">
            <v>1582107354.9300001</v>
          </cell>
        </row>
        <row r="197">
          <cell r="A197" t="str">
            <v>94014</v>
          </cell>
          <cell r="B197" t="str">
            <v>RB-C-94014</v>
          </cell>
          <cell r="C197" t="str">
            <v/>
          </cell>
          <cell r="D197" t="str">
            <v>94014 Personnel exp. - other support paym.</v>
          </cell>
          <cell r="E197">
            <v>104875143.19</v>
          </cell>
        </row>
        <row r="198">
          <cell r="A198" t="str">
            <v>94019</v>
          </cell>
          <cell r="B198" t="str">
            <v>RB-C-94019</v>
          </cell>
          <cell r="C198" t="str">
            <v/>
          </cell>
          <cell r="D198" t="str">
            <v>94019 Total: Personnel expenses</v>
          </cell>
          <cell r="E198">
            <v>58309952266.239998</v>
          </cell>
        </row>
        <row r="199">
          <cell r="A199" t="str">
            <v>07700</v>
          </cell>
          <cell r="B199" t="str">
            <v>P707700</v>
          </cell>
          <cell r="C199" t="str">
            <v/>
          </cell>
          <cell r="D199" t="str">
            <v/>
          </cell>
          <cell r="E199">
            <v>58309952266.239998</v>
          </cell>
        </row>
        <row r="200">
          <cell r="A200" t="str">
            <v>394</v>
          </cell>
          <cell r="B200" t="str">
            <v>394</v>
          </cell>
          <cell r="C200" t="str">
            <v/>
          </cell>
          <cell r="D200" t="str">
            <v>Total Intra-company delivery of goods</v>
          </cell>
          <cell r="E200">
            <v>-1414555925.1700001</v>
          </cell>
        </row>
        <row r="201">
          <cell r="A201" t="str">
            <v>395</v>
          </cell>
          <cell r="B201" t="str">
            <v>395</v>
          </cell>
          <cell r="C201" t="str">
            <v/>
          </cell>
          <cell r="D201" t="str">
            <v>Total Manufacturing costs of Intra-company de</v>
          </cell>
          <cell r="E201">
            <v>1412741435.4100001</v>
          </cell>
        </row>
        <row r="202">
          <cell r="A202" t="str">
            <v>394FF</v>
          </cell>
          <cell r="B202" t="str">
            <v>394FF</v>
          </cell>
          <cell r="C202" t="str">
            <v/>
          </cell>
          <cell r="D202" t="str">
            <v>Total Intra-company delivery / costs</v>
          </cell>
          <cell r="E202">
            <v>-1814489.76</v>
          </cell>
        </row>
        <row r="203">
          <cell r="A203" t="str">
            <v>420</v>
          </cell>
          <cell r="B203" t="str">
            <v>420</v>
          </cell>
          <cell r="C203" t="str">
            <v/>
          </cell>
          <cell r="D203" t="str">
            <v>Total Material cost &amp; purch.services for prod</v>
          </cell>
          <cell r="E203">
            <v>48043447.270000003</v>
          </cell>
        </row>
        <row r="204">
          <cell r="A204" t="str">
            <v>423</v>
          </cell>
          <cell r="B204" t="str">
            <v>423</v>
          </cell>
          <cell r="C204" t="str">
            <v/>
          </cell>
          <cell r="D204" t="str">
            <v>Total Merchandise incl. cash discounts and bo</v>
          </cell>
          <cell r="E204">
            <v>1684851820.0999999</v>
          </cell>
        </row>
        <row r="205">
          <cell r="A205" t="str">
            <v>424</v>
          </cell>
          <cell r="B205" t="str">
            <v>424</v>
          </cell>
          <cell r="C205" t="str">
            <v/>
          </cell>
          <cell r="D205" t="str">
            <v>Total Procurement of energy, fuels</v>
          </cell>
          <cell r="E205">
            <v>606432989.63</v>
          </cell>
        </row>
        <row r="206">
          <cell r="A206" t="str">
            <v>426</v>
          </cell>
          <cell r="B206" t="str">
            <v>426</v>
          </cell>
          <cell r="C206" t="str">
            <v/>
          </cell>
          <cell r="D206" t="str">
            <v>Total Costs dependent on purchase for goods r</v>
          </cell>
          <cell r="E206">
            <v>124256393.19</v>
          </cell>
        </row>
        <row r="207">
          <cell r="A207" t="str">
            <v>427</v>
          </cell>
          <cell r="B207" t="str">
            <v>427</v>
          </cell>
          <cell r="C207" t="str">
            <v/>
          </cell>
          <cell r="D207" t="str">
            <v>Total Mat.costs &amp; purch.services / hired labo</v>
          </cell>
          <cell r="E207">
            <v>5307167595.29</v>
          </cell>
        </row>
        <row r="208">
          <cell r="A208" t="str">
            <v>428</v>
          </cell>
          <cell r="B208" t="str">
            <v>428</v>
          </cell>
          <cell r="C208" t="str">
            <v/>
          </cell>
          <cell r="D208" t="str">
            <v>Total Tool costs</v>
          </cell>
          <cell r="E208">
            <v>94874.49</v>
          </cell>
        </row>
        <row r="209">
          <cell r="A209" t="str">
            <v>4407</v>
          </cell>
          <cell r="B209" t="str">
            <v>4407</v>
          </cell>
          <cell r="C209" t="str">
            <v/>
          </cell>
          <cell r="D209" t="str">
            <v/>
          </cell>
          <cell r="E209">
            <v>47348551.200000003</v>
          </cell>
        </row>
        <row r="210">
          <cell r="A210" t="str">
            <v>4713</v>
          </cell>
          <cell r="B210" t="str">
            <v>4713</v>
          </cell>
          <cell r="C210" t="str">
            <v/>
          </cell>
          <cell r="D210" t="str">
            <v/>
          </cell>
          <cell r="E210">
            <v>5801384.0999999996</v>
          </cell>
        </row>
        <row r="211">
          <cell r="A211" t="str">
            <v>4722</v>
          </cell>
          <cell r="B211" t="str">
            <v>4722</v>
          </cell>
          <cell r="C211" t="str">
            <v/>
          </cell>
          <cell r="D211" t="str">
            <v/>
          </cell>
          <cell r="E211">
            <v>-10381145.869999999</v>
          </cell>
        </row>
        <row r="212">
          <cell r="A212" t="str">
            <v>4922</v>
          </cell>
          <cell r="B212" t="str">
            <v>4922</v>
          </cell>
          <cell r="C212" t="str">
            <v/>
          </cell>
          <cell r="D212" t="str">
            <v/>
          </cell>
          <cell r="E212">
            <v>-2610259658.9699998</v>
          </cell>
        </row>
        <row r="213">
          <cell r="A213" t="str">
            <v>94100</v>
          </cell>
          <cell r="B213" t="str">
            <v>RB-C-94100</v>
          </cell>
          <cell r="C213" t="str">
            <v/>
          </cell>
          <cell r="D213" t="str">
            <v>94100 Total costs of materials</v>
          </cell>
          <cell r="E213">
            <v>5201541760.6700001</v>
          </cell>
        </row>
        <row r="214">
          <cell r="A214" t="str">
            <v>94300</v>
          </cell>
          <cell r="B214" t="str">
            <v>RB-C-94300</v>
          </cell>
          <cell r="C214" t="str">
            <v/>
          </cell>
          <cell r="D214" t="str">
            <v>94300 Total Donations, tax deductible</v>
          </cell>
          <cell r="E214">
            <v>338780647</v>
          </cell>
        </row>
        <row r="215">
          <cell r="A215" t="str">
            <v>513FF</v>
          </cell>
          <cell r="B215" t="str">
            <v>14513FF</v>
          </cell>
          <cell r="C215" t="str">
            <v/>
          </cell>
          <cell r="D215" t="str">
            <v/>
          </cell>
          <cell r="E215">
            <v>26162.959999999999</v>
          </cell>
        </row>
        <row r="216">
          <cell r="A216" t="str">
            <v>94401</v>
          </cell>
          <cell r="B216" t="str">
            <v>RB-C-94401</v>
          </cell>
          <cell r="C216" t="str">
            <v/>
          </cell>
          <cell r="D216" t="str">
            <v/>
          </cell>
          <cell r="E216">
            <v>26162.959999999999</v>
          </cell>
        </row>
        <row r="217">
          <cell r="A217" t="str">
            <v>511FF</v>
          </cell>
          <cell r="B217" t="str">
            <v>14511FF</v>
          </cell>
          <cell r="C217" t="str">
            <v/>
          </cell>
          <cell r="D217" t="str">
            <v/>
          </cell>
          <cell r="E217">
            <v>21129194.359999999</v>
          </cell>
        </row>
        <row r="218">
          <cell r="A218" t="str">
            <v>512FF</v>
          </cell>
          <cell r="B218" t="str">
            <v>14512FF</v>
          </cell>
          <cell r="C218" t="str">
            <v/>
          </cell>
          <cell r="D218" t="str">
            <v/>
          </cell>
          <cell r="E218">
            <v>8004603.5499999998</v>
          </cell>
        </row>
        <row r="219">
          <cell r="A219" t="str">
            <v>94404</v>
          </cell>
          <cell r="B219" t="str">
            <v>RB-C-94404</v>
          </cell>
          <cell r="C219" t="str">
            <v/>
          </cell>
          <cell r="D219" t="str">
            <v/>
          </cell>
          <cell r="E219">
            <v>29133797.91</v>
          </cell>
        </row>
        <row r="220">
          <cell r="A220" t="str">
            <v>N.IS</v>
          </cell>
          <cell r="B220" t="str">
            <v>N.IS</v>
          </cell>
          <cell r="C220" t="str">
            <v/>
          </cell>
          <cell r="D220" t="str">
            <v>N.IS Notes related to the Income Statement</v>
          </cell>
          <cell r="E220">
            <v>63879434634.779999</v>
          </cell>
        </row>
        <row r="221">
          <cell r="A221" t="str">
            <v>99110</v>
          </cell>
          <cell r="B221" t="str">
            <v>P2_99110</v>
          </cell>
          <cell r="C221" t="str">
            <v/>
          </cell>
          <cell r="D221" t="str">
            <v>Total P2_99110 Own work cap.on tang.fixed ass</v>
          </cell>
          <cell r="E221">
            <v>-4553047.16</v>
          </cell>
        </row>
        <row r="222">
          <cell r="A222" t="str">
            <v>99210</v>
          </cell>
          <cell r="B222" t="str">
            <v>P2_99210</v>
          </cell>
          <cell r="C222" t="str">
            <v/>
          </cell>
          <cell r="D222" t="str">
            <v>Total P2_99210 Expenses for temporary workers</v>
          </cell>
          <cell r="E222">
            <v>234680490.94</v>
          </cell>
        </row>
        <row r="223">
          <cell r="A223" t="str">
            <v>N.T9</v>
          </cell>
          <cell r="B223" t="str">
            <v>N.T9</v>
          </cell>
          <cell r="C223" t="str">
            <v/>
          </cell>
          <cell r="D223" t="str">
            <v/>
          </cell>
          <cell r="E223">
            <v>230127443.78</v>
          </cell>
        </row>
        <row r="224">
          <cell r="A224" t="str">
            <v>E UFE</v>
          </cell>
          <cell r="B224" t="str">
            <v>CHANGE UFE</v>
          </cell>
          <cell r="C224" t="str">
            <v/>
          </cell>
          <cell r="D224" t="str">
            <v>Total Change unfinished goods</v>
          </cell>
          <cell r="E224">
            <v>-54404675.450000003</v>
          </cell>
        </row>
        <row r="225">
          <cell r="A225" t="str">
            <v>E UFE</v>
          </cell>
          <cell r="B225" t="str">
            <v>CHG FE UFE</v>
          </cell>
          <cell r="C225" t="str">
            <v/>
          </cell>
          <cell r="D225" t="str">
            <v>Total Finished and unfinished goods</v>
          </cell>
          <cell r="E225">
            <v>-54404675.450000003</v>
          </cell>
        </row>
        <row r="226">
          <cell r="A226" t="str">
            <v>300</v>
          </cell>
          <cell r="B226" t="str">
            <v>300</v>
          </cell>
          <cell r="C226" t="str">
            <v/>
          </cell>
          <cell r="D226" t="str">
            <v>Total Sales from deliveries of goods and merc</v>
          </cell>
          <cell r="E226">
            <v>-2529117028.6900001</v>
          </cell>
        </row>
        <row r="227">
          <cell r="A227" t="str">
            <v>30</v>
          </cell>
          <cell r="B227" t="str">
            <v>30</v>
          </cell>
          <cell r="C227" t="str">
            <v/>
          </cell>
          <cell r="D227" t="str">
            <v>Total Sales from deliveries of goods and merc</v>
          </cell>
          <cell r="E227">
            <v>-2529117028.6900001</v>
          </cell>
        </row>
        <row r="228">
          <cell r="A228" t="str">
            <v>310</v>
          </cell>
          <cell r="B228" t="str">
            <v>310</v>
          </cell>
          <cell r="C228" t="str">
            <v/>
          </cell>
          <cell r="D228" t="str">
            <v>Total Sales from services</v>
          </cell>
          <cell r="E228">
            <v>-3389179543.4099998</v>
          </cell>
        </row>
        <row r="229">
          <cell r="A229" t="str">
            <v>311</v>
          </cell>
          <cell r="B229" t="str">
            <v>311</v>
          </cell>
          <cell r="C229" t="str">
            <v/>
          </cell>
          <cell r="D229" t="str">
            <v>Total Sales from others</v>
          </cell>
          <cell r="E229">
            <v>-500817.24</v>
          </cell>
        </row>
        <row r="230">
          <cell r="A230" t="str">
            <v>31</v>
          </cell>
          <cell r="B230" t="str">
            <v>31</v>
          </cell>
          <cell r="C230" t="str">
            <v/>
          </cell>
          <cell r="D230" t="str">
            <v>Total Sales from services and others</v>
          </cell>
          <cell r="E230">
            <v>-3389680360.6500001</v>
          </cell>
        </row>
        <row r="231">
          <cell r="A231" t="str">
            <v>320</v>
          </cell>
          <cell r="B231" t="str">
            <v>320</v>
          </cell>
          <cell r="C231" t="str">
            <v/>
          </cell>
          <cell r="D231" t="str">
            <v>Total Sales from research &amp; development activ</v>
          </cell>
          <cell r="E231">
            <v>-111364294304.92999</v>
          </cell>
        </row>
        <row r="232">
          <cell r="A232" t="str">
            <v>32</v>
          </cell>
          <cell r="B232" t="str">
            <v>32</v>
          </cell>
          <cell r="C232" t="str">
            <v/>
          </cell>
          <cell r="D232" t="str">
            <v>Total Sales from research &amp; development activ</v>
          </cell>
          <cell r="E232">
            <v>-111364294304.92999</v>
          </cell>
        </row>
        <row r="233">
          <cell r="A233" t="str">
            <v>330</v>
          </cell>
          <cell r="B233" t="str">
            <v>330</v>
          </cell>
          <cell r="C233" t="str">
            <v/>
          </cell>
          <cell r="D233" t="str">
            <v>Total Sales from sales related activities</v>
          </cell>
          <cell r="E233">
            <v>-41727030.689999998</v>
          </cell>
        </row>
        <row r="234">
          <cell r="A234" t="str">
            <v>33</v>
          </cell>
          <cell r="B234" t="str">
            <v>33</v>
          </cell>
          <cell r="C234" t="str">
            <v/>
          </cell>
          <cell r="D234" t="str">
            <v>Total Sales from sales related activities</v>
          </cell>
          <cell r="E234">
            <v>-41727030.689999998</v>
          </cell>
        </row>
        <row r="235">
          <cell r="A235" t="str">
            <v>350</v>
          </cell>
          <cell r="B235" t="str">
            <v>350</v>
          </cell>
          <cell r="C235" t="str">
            <v/>
          </cell>
          <cell r="D235" t="str">
            <v>Total Manufacturing licence fees</v>
          </cell>
          <cell r="E235">
            <v>-543540702.59000003</v>
          </cell>
        </row>
        <row r="236">
          <cell r="A236" t="str">
            <v>35</v>
          </cell>
          <cell r="B236" t="str">
            <v>35</v>
          </cell>
          <cell r="C236" t="str">
            <v/>
          </cell>
          <cell r="D236" t="str">
            <v>Total Sales from licences</v>
          </cell>
          <cell r="E236">
            <v>-543540702.59000003</v>
          </cell>
        </row>
        <row r="237">
          <cell r="A237" t="str">
            <v>390</v>
          </cell>
          <cell r="B237" t="str">
            <v>390</v>
          </cell>
          <cell r="C237" t="str">
            <v/>
          </cell>
          <cell r="D237" t="str">
            <v>Total Income from reallocated overhead cost</v>
          </cell>
          <cell r="E237">
            <v>1814489.76</v>
          </cell>
        </row>
        <row r="238">
          <cell r="A238" t="str">
            <v>39</v>
          </cell>
          <cell r="B238" t="str">
            <v>39</v>
          </cell>
          <cell r="C238" t="str">
            <v/>
          </cell>
          <cell r="D238" t="str">
            <v>Total Other income (realloc.overhead costs et</v>
          </cell>
          <cell r="E238">
            <v>1814489.76</v>
          </cell>
        </row>
        <row r="239">
          <cell r="A239" t="str">
            <v>00000</v>
          </cell>
          <cell r="B239" t="str">
            <v>300000000</v>
          </cell>
          <cell r="C239" t="str">
            <v/>
          </cell>
          <cell r="D239" t="str">
            <v>Total Sales, sales allowances, other income</v>
          </cell>
          <cell r="E239">
            <v>-117866544937.78999</v>
          </cell>
        </row>
        <row r="240">
          <cell r="A240" t="str">
            <v>48</v>
          </cell>
          <cell r="B240" t="str">
            <v>48</v>
          </cell>
          <cell r="C240" t="str">
            <v/>
          </cell>
          <cell r="D240" t="str">
            <v/>
          </cell>
          <cell r="E240">
            <v>4368895577.5799999</v>
          </cell>
        </row>
        <row r="241">
          <cell r="A241" t="str">
            <v>410</v>
          </cell>
          <cell r="B241" t="str">
            <v>410</v>
          </cell>
          <cell r="C241" t="str">
            <v/>
          </cell>
          <cell r="D241" t="str">
            <v>Total Travel costs</v>
          </cell>
          <cell r="E241">
            <v>2913392652.5</v>
          </cell>
        </row>
        <row r="242">
          <cell r="A242" t="str">
            <v>411</v>
          </cell>
          <cell r="B242" t="str">
            <v>411</v>
          </cell>
          <cell r="C242" t="str">
            <v/>
          </cell>
          <cell r="D242" t="str">
            <v>Total Entertainment expenses</v>
          </cell>
          <cell r="E242">
            <v>11865562.23</v>
          </cell>
        </row>
        <row r="243">
          <cell r="A243" t="str">
            <v>412</v>
          </cell>
          <cell r="B243" t="str">
            <v>412</v>
          </cell>
          <cell r="C243" t="str">
            <v/>
          </cell>
          <cell r="D243" t="str">
            <v>Total Vocational training</v>
          </cell>
          <cell r="E243">
            <v>658050289.76999998</v>
          </cell>
        </row>
        <row r="244">
          <cell r="A244" t="str">
            <v>413</v>
          </cell>
          <cell r="B244" t="str">
            <v>413</v>
          </cell>
          <cell r="C244" t="str">
            <v/>
          </cell>
          <cell r="D244" t="str">
            <v>Total Occupational safety, work wear</v>
          </cell>
          <cell r="E244">
            <v>322665367.19</v>
          </cell>
        </row>
        <row r="245">
          <cell r="A245" t="str">
            <v>414</v>
          </cell>
          <cell r="B245" t="str">
            <v>414</v>
          </cell>
          <cell r="C245" t="str">
            <v/>
          </cell>
          <cell r="D245" t="str">
            <v>Total Catering</v>
          </cell>
          <cell r="E245">
            <v>612205397.88999999</v>
          </cell>
        </row>
        <row r="246">
          <cell r="A246" t="str">
            <v>415</v>
          </cell>
          <cell r="B246" t="str">
            <v>415</v>
          </cell>
          <cell r="C246" t="str">
            <v/>
          </cell>
          <cell r="D246" t="str">
            <v>Total Other personnel-oriented material costs</v>
          </cell>
          <cell r="E246">
            <v>856094734.71000004</v>
          </cell>
        </row>
        <row r="247">
          <cell r="A247" t="str">
            <v>41</v>
          </cell>
          <cell r="B247" t="str">
            <v>41</v>
          </cell>
          <cell r="C247" t="str">
            <v/>
          </cell>
          <cell r="D247" t="str">
            <v>Total Personnel-oriented material costs</v>
          </cell>
          <cell r="E247">
            <v>5374274004.29</v>
          </cell>
        </row>
        <row r="248">
          <cell r="A248" t="str">
            <v>440</v>
          </cell>
          <cell r="B248" t="str">
            <v>440</v>
          </cell>
          <cell r="C248" t="str">
            <v/>
          </cell>
          <cell r="D248" t="str">
            <v>Total Research and development I</v>
          </cell>
          <cell r="E248">
            <v>442811669.18000001</v>
          </cell>
        </row>
        <row r="249">
          <cell r="A249" t="str">
            <v>442</v>
          </cell>
          <cell r="B249" t="str">
            <v>442</v>
          </cell>
          <cell r="C249" t="str">
            <v/>
          </cell>
          <cell r="D249" t="str">
            <v>Total Sales: Advertising I</v>
          </cell>
          <cell r="E249">
            <v>18499535.68</v>
          </cell>
        </row>
        <row r="250">
          <cell r="A250" t="str">
            <v>443</v>
          </cell>
          <cell r="B250" t="str">
            <v>443</v>
          </cell>
          <cell r="C250" t="str">
            <v/>
          </cell>
          <cell r="D250" t="str">
            <v>Total Sales: Advertising II</v>
          </cell>
          <cell r="E250">
            <v>44081176.289999999</v>
          </cell>
        </row>
        <row r="251">
          <cell r="A251" t="str">
            <v>444</v>
          </cell>
          <cell r="B251" t="str">
            <v>444</v>
          </cell>
          <cell r="C251" t="str">
            <v/>
          </cell>
          <cell r="D251" t="str">
            <v>Total Sales: Trade fairs / sales promotion</v>
          </cell>
          <cell r="E251">
            <v>103822966.5</v>
          </cell>
        </row>
        <row r="252">
          <cell r="A252" t="str">
            <v>445</v>
          </cell>
          <cell r="B252" t="str">
            <v>445</v>
          </cell>
          <cell r="C252" t="str">
            <v/>
          </cell>
          <cell r="D252" t="str">
            <v>Total Sales:Warranty,recall activities;del.co</v>
          </cell>
          <cell r="E252">
            <v>74349121.069999993</v>
          </cell>
        </row>
        <row r="253">
          <cell r="A253" t="str">
            <v>447</v>
          </cell>
          <cell r="B253" t="str">
            <v>447</v>
          </cell>
          <cell r="C253" t="str">
            <v/>
          </cell>
          <cell r="D253" t="str">
            <v>Total Sales: Outgoing freight and commissions</v>
          </cell>
          <cell r="E253">
            <v>695277</v>
          </cell>
        </row>
        <row r="254">
          <cell r="A254" t="str">
            <v>44</v>
          </cell>
          <cell r="B254" t="str">
            <v>44</v>
          </cell>
          <cell r="C254" t="str">
            <v/>
          </cell>
          <cell r="D254" t="str">
            <v>Total Research and development and sales</v>
          </cell>
          <cell r="E254">
            <v>684259745.72000003</v>
          </cell>
        </row>
        <row r="255">
          <cell r="A255" t="str">
            <v>450</v>
          </cell>
          <cell r="B255" t="str">
            <v>450</v>
          </cell>
          <cell r="C255" t="str">
            <v/>
          </cell>
          <cell r="D255" t="str">
            <v>Total Maintenance costs - third parties</v>
          </cell>
          <cell r="E255">
            <v>-274604286.92000002</v>
          </cell>
        </row>
        <row r="256">
          <cell r="A256" t="str">
            <v>510FF</v>
          </cell>
          <cell r="B256" t="str">
            <v>14510FF</v>
          </cell>
          <cell r="C256" t="str">
            <v/>
          </cell>
          <cell r="D256" t="str">
            <v/>
          </cell>
          <cell r="E256">
            <v>1447278537.9300001</v>
          </cell>
        </row>
        <row r="257">
          <cell r="A257" t="str">
            <v>452</v>
          </cell>
          <cell r="B257" t="str">
            <v>452</v>
          </cell>
          <cell r="C257" t="str">
            <v/>
          </cell>
          <cell r="D257" t="str">
            <v>Total Communication costs and IT costs</v>
          </cell>
          <cell r="E257">
            <v>18088180964.889999</v>
          </cell>
        </row>
        <row r="258">
          <cell r="A258" t="str">
            <v>453</v>
          </cell>
          <cell r="B258" t="str">
            <v>453</v>
          </cell>
          <cell r="C258" t="str">
            <v/>
          </cell>
          <cell r="D258" t="str">
            <v>Total Insurance premiums and indemnifications</v>
          </cell>
          <cell r="E258">
            <v>29367</v>
          </cell>
        </row>
        <row r="259">
          <cell r="A259" t="str">
            <v>454</v>
          </cell>
          <cell r="B259" t="str">
            <v>454</v>
          </cell>
          <cell r="C259" t="str">
            <v/>
          </cell>
          <cell r="D259" t="str">
            <v>Total Taxes (indepen. of  income), contributi</v>
          </cell>
          <cell r="E259">
            <v>1139930534.6700001</v>
          </cell>
        </row>
        <row r="260">
          <cell r="A260" t="str">
            <v>455</v>
          </cell>
          <cell r="B260" t="str">
            <v>455</v>
          </cell>
          <cell r="C260" t="str">
            <v/>
          </cell>
          <cell r="D260" t="str">
            <v>Total Reloc. expenses &amp; transport costs(excl.</v>
          </cell>
          <cell r="E260">
            <v>1632710.88</v>
          </cell>
        </row>
        <row r="261">
          <cell r="A261" t="str">
            <v>456</v>
          </cell>
          <cell r="B261" t="str">
            <v>456</v>
          </cell>
          <cell r="C261" t="str">
            <v/>
          </cell>
          <cell r="D261" t="str">
            <v>Total Public relations and special literature</v>
          </cell>
          <cell r="E261">
            <v>1276639.3</v>
          </cell>
        </row>
        <row r="262">
          <cell r="A262" t="str">
            <v>457</v>
          </cell>
          <cell r="B262" t="str">
            <v>457</v>
          </cell>
          <cell r="C262" t="str">
            <v/>
          </cell>
          <cell r="D262" t="str">
            <v>Total Consulting expenses (without IT)</v>
          </cell>
          <cell r="E262">
            <v>-1713895350.6700001</v>
          </cell>
        </row>
        <row r="263">
          <cell r="A263" t="str">
            <v>459</v>
          </cell>
          <cell r="B263" t="str">
            <v>459</v>
          </cell>
          <cell r="C263" t="str">
            <v/>
          </cell>
          <cell r="D263" t="str">
            <v>Total Other costs</v>
          </cell>
          <cell r="E263">
            <v>2768684844.1300001</v>
          </cell>
        </row>
        <row r="264">
          <cell r="A264" t="str">
            <v>45</v>
          </cell>
          <cell r="B264" t="str">
            <v>45</v>
          </cell>
          <cell r="C264" t="str">
            <v/>
          </cell>
          <cell r="D264" t="str">
            <v>Total Other costs - thrid parties</v>
          </cell>
          <cell r="E264">
            <v>21458513961.209999</v>
          </cell>
        </row>
        <row r="265">
          <cell r="A265" t="str">
            <v>00000</v>
          </cell>
          <cell r="B265" t="str">
            <v>400000000</v>
          </cell>
          <cell r="C265" t="str">
            <v/>
          </cell>
          <cell r="D265" t="str">
            <v>Total Costs</v>
          </cell>
          <cell r="E265">
            <v>31885943288.799999</v>
          </cell>
        </row>
        <row r="266">
          <cell r="A266" t="str">
            <v>600</v>
          </cell>
          <cell r="B266" t="str">
            <v>600</v>
          </cell>
          <cell r="C266" t="str">
            <v/>
          </cell>
          <cell r="D266" t="str">
            <v>Total Income and expenses from provisions</v>
          </cell>
          <cell r="E266">
            <v>-1400127828.6199999</v>
          </cell>
        </row>
        <row r="267">
          <cell r="A267" t="str">
            <v>60</v>
          </cell>
          <cell r="B267" t="str">
            <v>60</v>
          </cell>
          <cell r="C267" t="str">
            <v/>
          </cell>
          <cell r="D267" t="str">
            <v>Total Income/expense provisions &amp; accru.liabi</v>
          </cell>
          <cell r="E267">
            <v>-1400127828.6199999</v>
          </cell>
        </row>
        <row r="268">
          <cell r="A268" t="str">
            <v>630</v>
          </cell>
          <cell r="B268" t="str">
            <v>630</v>
          </cell>
          <cell r="C268" t="str">
            <v/>
          </cell>
          <cell r="D268" t="str">
            <v>Total Realized&amp;unrealized exch. rate gains re</v>
          </cell>
          <cell r="E268">
            <v>-1178366623.1700001</v>
          </cell>
        </row>
        <row r="269">
          <cell r="A269" t="str">
            <v>631</v>
          </cell>
          <cell r="B269" t="str">
            <v>631</v>
          </cell>
          <cell r="C269" t="str">
            <v/>
          </cell>
          <cell r="D269" t="str">
            <v>Total Realized&amp;unrealized exch. rate gains li</v>
          </cell>
          <cell r="E269">
            <v>-78864951.519999996</v>
          </cell>
        </row>
        <row r="270">
          <cell r="A270" t="str">
            <v>633</v>
          </cell>
          <cell r="B270" t="str">
            <v>633</v>
          </cell>
          <cell r="C270" t="str">
            <v/>
          </cell>
          <cell r="D270" t="str">
            <v/>
          </cell>
          <cell r="E270">
            <v>-86186095.760000005</v>
          </cell>
        </row>
        <row r="271">
          <cell r="A271" t="str">
            <v>635</v>
          </cell>
          <cell r="B271" t="str">
            <v>635</v>
          </cell>
          <cell r="C271" t="str">
            <v/>
          </cell>
          <cell r="D271" t="str">
            <v>Total Income reversal of bad debt allow.recei</v>
          </cell>
          <cell r="E271">
            <v>-6149547.9500000002</v>
          </cell>
        </row>
        <row r="272">
          <cell r="A272" t="str">
            <v>63</v>
          </cell>
          <cell r="B272" t="str">
            <v>63</v>
          </cell>
          <cell r="C272" t="str">
            <v/>
          </cell>
          <cell r="D272" t="str">
            <v>Total Other gains / income</v>
          </cell>
          <cell r="E272">
            <v>-1349567218.4000001</v>
          </cell>
        </row>
        <row r="273">
          <cell r="A273" t="str">
            <v>640</v>
          </cell>
          <cell r="B273" t="str">
            <v>640</v>
          </cell>
          <cell r="C273" t="str">
            <v/>
          </cell>
          <cell r="D273" t="str">
            <v>Total Income from disposal of tangible fixed</v>
          </cell>
          <cell r="E273">
            <v>-3069830.09</v>
          </cell>
        </row>
        <row r="274">
          <cell r="A274" t="str">
            <v>642</v>
          </cell>
          <cell r="B274" t="str">
            <v>642</v>
          </cell>
          <cell r="C274" t="str">
            <v/>
          </cell>
          <cell r="D274" t="str">
            <v>Total Income from disposal of other assets</v>
          </cell>
          <cell r="E274">
            <v>-120218994.68000001</v>
          </cell>
        </row>
        <row r="275">
          <cell r="A275" t="str">
            <v>643</v>
          </cell>
          <cell r="B275" t="str">
            <v>643</v>
          </cell>
          <cell r="C275" t="str">
            <v/>
          </cell>
          <cell r="D275" t="str">
            <v>Total Income from rent, leasing commitments</v>
          </cell>
          <cell r="E275">
            <v>-459276040.17000002</v>
          </cell>
        </row>
        <row r="276">
          <cell r="A276" t="str">
            <v>64</v>
          </cell>
          <cell r="B276" t="str">
            <v>64</v>
          </cell>
          <cell r="C276" t="str">
            <v/>
          </cell>
          <cell r="D276" t="str">
            <v>Total Other operat  inc,fixed asset excl fina</v>
          </cell>
          <cell r="E276">
            <v>-582564864.94000006</v>
          </cell>
        </row>
        <row r="277">
          <cell r="A277" t="str">
            <v>650</v>
          </cell>
          <cell r="B277" t="str">
            <v>650</v>
          </cell>
          <cell r="C277" t="str">
            <v/>
          </cell>
          <cell r="D277" t="str">
            <v>Total Other operating income-third parties,B-</v>
          </cell>
          <cell r="E277">
            <v>41483538.479999997</v>
          </cell>
        </row>
        <row r="278">
          <cell r="A278" t="str">
            <v>65</v>
          </cell>
          <cell r="B278" t="str">
            <v>65</v>
          </cell>
          <cell r="C278" t="str">
            <v/>
          </cell>
          <cell r="D278" t="str">
            <v>Total Other operat. income, tax rec. for prev</v>
          </cell>
          <cell r="E278">
            <v>41483538.479999997</v>
          </cell>
        </row>
        <row r="279">
          <cell r="A279" t="str">
            <v>660</v>
          </cell>
          <cell r="B279" t="str">
            <v>660</v>
          </cell>
          <cell r="C279" t="str">
            <v/>
          </cell>
          <cell r="D279" t="str">
            <v>Total Realized &amp; unrealized exch. rate loss l</v>
          </cell>
          <cell r="E279">
            <v>557576742.62</v>
          </cell>
        </row>
        <row r="280">
          <cell r="A280" t="str">
            <v>661</v>
          </cell>
          <cell r="B280" t="str">
            <v>661</v>
          </cell>
          <cell r="C280" t="str">
            <v/>
          </cell>
          <cell r="D280" t="str">
            <v>Total Realized &amp; unrealized exch. rate loss r</v>
          </cell>
          <cell r="E280">
            <v>232206279.16</v>
          </cell>
        </row>
        <row r="281">
          <cell r="A281" t="str">
            <v>663</v>
          </cell>
          <cell r="B281" t="str">
            <v>663</v>
          </cell>
          <cell r="C281" t="str">
            <v/>
          </cell>
          <cell r="D281" t="str">
            <v/>
          </cell>
          <cell r="E281">
            <v>1164517197.05</v>
          </cell>
        </row>
        <row r="282">
          <cell r="A282" t="str">
            <v>666</v>
          </cell>
          <cell r="B282" t="str">
            <v>666</v>
          </cell>
          <cell r="C282" t="str">
            <v/>
          </cell>
          <cell r="D282" t="str">
            <v>Total Losses creation of provision deprec. re</v>
          </cell>
          <cell r="E282">
            <v>61497600.18</v>
          </cell>
        </row>
        <row r="283">
          <cell r="A283" t="str">
            <v>669</v>
          </cell>
          <cell r="B283" t="str">
            <v>669</v>
          </cell>
          <cell r="C283" t="str">
            <v/>
          </cell>
          <cell r="D283" t="str">
            <v>Total Creat. provision discounting, deprec et</v>
          </cell>
          <cell r="E283">
            <v>88871811.150000006</v>
          </cell>
        </row>
        <row r="284">
          <cell r="A284" t="str">
            <v>66</v>
          </cell>
          <cell r="B284" t="str">
            <v>66</v>
          </cell>
          <cell r="C284" t="str">
            <v/>
          </cell>
          <cell r="D284" t="str">
            <v>Total Exp. trade receivables,other assets # 1</v>
          </cell>
          <cell r="E284">
            <v>2104669630.1600001</v>
          </cell>
        </row>
        <row r="285">
          <cell r="A285" t="str">
            <v>670</v>
          </cell>
          <cell r="B285" t="str">
            <v>670</v>
          </cell>
          <cell r="C285" t="str">
            <v/>
          </cell>
          <cell r="D285" t="str">
            <v>Total Expense from disposal of tangible fixed</v>
          </cell>
          <cell r="E285">
            <v>13342068.970000001</v>
          </cell>
        </row>
        <row r="286">
          <cell r="A286" t="str">
            <v>67</v>
          </cell>
          <cell r="B286" t="str">
            <v>67</v>
          </cell>
          <cell r="C286" t="str">
            <v/>
          </cell>
          <cell r="D286" t="str">
            <v>Total Oth oper. exp,exp from FA w/o financ. a</v>
          </cell>
          <cell r="E286">
            <v>13342068.970000001</v>
          </cell>
        </row>
        <row r="287">
          <cell r="A287" t="str">
            <v>00000</v>
          </cell>
          <cell r="B287" t="str">
            <v>600000000</v>
          </cell>
          <cell r="C287" t="str">
            <v/>
          </cell>
          <cell r="D287" t="str">
            <v>Total Other operating income &amp; expense,deprec</v>
          </cell>
          <cell r="E287">
            <v>-1172764674.3499999</v>
          </cell>
        </row>
        <row r="288">
          <cell r="A288" t="str">
            <v>701</v>
          </cell>
          <cell r="B288" t="str">
            <v>701</v>
          </cell>
          <cell r="C288" t="str">
            <v/>
          </cell>
          <cell r="D288" t="str">
            <v>Total Result investments (w/o B-a &amp; results s</v>
          </cell>
          <cell r="E288">
            <v>-420300800</v>
          </cell>
        </row>
        <row r="289">
          <cell r="A289" t="str">
            <v>70</v>
          </cell>
          <cell r="B289" t="str">
            <v>70</v>
          </cell>
          <cell r="C289" t="str">
            <v/>
          </cell>
          <cell r="D289" t="str">
            <v>Total Result from investments</v>
          </cell>
          <cell r="E289">
            <v>-420300800</v>
          </cell>
        </row>
        <row r="290">
          <cell r="A290" t="str">
            <v>710</v>
          </cell>
          <cell r="B290" t="str">
            <v>710</v>
          </cell>
          <cell r="C290" t="str">
            <v/>
          </cell>
          <cell r="D290" t="str">
            <v>Total Interest income</v>
          </cell>
          <cell r="E290">
            <v>-1448913255.02</v>
          </cell>
        </row>
        <row r="291">
          <cell r="A291" t="str">
            <v>711</v>
          </cell>
          <cell r="B291" t="str">
            <v>711</v>
          </cell>
          <cell r="C291" t="str">
            <v/>
          </cell>
          <cell r="D291" t="str">
            <v>Total Interest Expenses</v>
          </cell>
          <cell r="E291">
            <v>749414939.89999998</v>
          </cell>
        </row>
        <row r="292">
          <cell r="A292" t="str">
            <v>71</v>
          </cell>
          <cell r="B292" t="str">
            <v>71</v>
          </cell>
          <cell r="C292" t="str">
            <v/>
          </cell>
          <cell r="D292" t="str">
            <v>Total Interest result</v>
          </cell>
          <cell r="E292">
            <v>-699498315.12</v>
          </cell>
        </row>
        <row r="293">
          <cell r="A293" t="str">
            <v>720</v>
          </cell>
          <cell r="B293" t="str">
            <v>720</v>
          </cell>
          <cell r="C293" t="str">
            <v/>
          </cell>
          <cell r="D293" t="str">
            <v>Total Other financial results 1</v>
          </cell>
          <cell r="E293">
            <v>-171170.4</v>
          </cell>
        </row>
        <row r="294">
          <cell r="A294" t="str">
            <v>725</v>
          </cell>
          <cell r="B294" t="str">
            <v>725</v>
          </cell>
          <cell r="C294" t="str">
            <v/>
          </cell>
          <cell r="D294" t="str">
            <v>Total Other financial results 4</v>
          </cell>
          <cell r="E294">
            <v>1131899295.1400001</v>
          </cell>
        </row>
        <row r="295">
          <cell r="A295" t="str">
            <v>729</v>
          </cell>
          <cell r="B295" t="str">
            <v>729</v>
          </cell>
          <cell r="C295" t="str">
            <v/>
          </cell>
          <cell r="D295" t="str">
            <v>Total Real. and not real. exchange rate fin.</v>
          </cell>
          <cell r="E295">
            <v>-470569042.75999999</v>
          </cell>
        </row>
        <row r="296">
          <cell r="A296" t="str">
            <v>72</v>
          </cell>
          <cell r="B296" t="str">
            <v>72</v>
          </cell>
          <cell r="C296" t="str">
            <v/>
          </cell>
          <cell r="D296" t="str">
            <v>Total Other financial results</v>
          </cell>
          <cell r="E296">
            <v>661159081.98000002</v>
          </cell>
        </row>
        <row r="297">
          <cell r="A297" t="str">
            <v>735</v>
          </cell>
          <cell r="B297" t="str">
            <v>735</v>
          </cell>
          <cell r="C297" t="str">
            <v/>
          </cell>
          <cell r="D297" t="str">
            <v>Total Losses from Derivatives (part 1)</v>
          </cell>
          <cell r="E297">
            <v>-309331323.79000002</v>
          </cell>
        </row>
        <row r="298">
          <cell r="A298" t="str">
            <v>73</v>
          </cell>
          <cell r="B298" t="str">
            <v>73</v>
          </cell>
          <cell r="C298" t="str">
            <v/>
          </cell>
          <cell r="D298" t="str">
            <v>Total Gains and Losses from Derivatives</v>
          </cell>
          <cell r="E298">
            <v>-309331323.79000002</v>
          </cell>
        </row>
        <row r="299">
          <cell r="A299" t="str">
            <v>751</v>
          </cell>
          <cell r="B299" t="str">
            <v>751</v>
          </cell>
          <cell r="C299" t="str">
            <v/>
          </cell>
          <cell r="D299" t="str">
            <v>Total Accrued income tax expenses - current y</v>
          </cell>
          <cell r="E299">
            <v>7193637897.4899998</v>
          </cell>
        </row>
        <row r="300">
          <cell r="A300" t="str">
            <v>758</v>
          </cell>
          <cell r="B300" t="str">
            <v>758</v>
          </cell>
          <cell r="C300" t="str">
            <v/>
          </cell>
          <cell r="D300" t="str">
            <v>Total Deferred tax expenses</v>
          </cell>
          <cell r="E300">
            <v>-1543067388.73</v>
          </cell>
        </row>
        <row r="301">
          <cell r="A301" t="str">
            <v>75</v>
          </cell>
          <cell r="B301" t="str">
            <v>75</v>
          </cell>
          <cell r="C301" t="str">
            <v/>
          </cell>
          <cell r="D301" t="str">
            <v>Total Taxes on income</v>
          </cell>
          <cell r="E301">
            <v>5650570508.7600002</v>
          </cell>
        </row>
        <row r="302">
          <cell r="A302" t="str">
            <v>00000</v>
          </cell>
          <cell r="B302" t="str">
            <v>700000000</v>
          </cell>
          <cell r="C302" t="str">
            <v/>
          </cell>
          <cell r="D302" t="str">
            <v>Total Financial result and taxes</v>
          </cell>
          <cell r="E302">
            <v>4882599151.8299999</v>
          </cell>
        </row>
        <row r="303">
          <cell r="A303" t="str">
            <v>998</v>
          </cell>
          <cell r="B303" t="str">
            <v>998</v>
          </cell>
          <cell r="C303" t="str">
            <v/>
          </cell>
          <cell r="D303" t="str">
            <v>P&amp;L Result</v>
          </cell>
          <cell r="E303">
            <v>18215609768.77</v>
          </cell>
        </row>
        <row r="304">
          <cell r="A304" t="str">
            <v>P&amp;L</v>
          </cell>
          <cell r="B304" t="str">
            <v>P&amp;L</v>
          </cell>
          <cell r="C304" t="str">
            <v/>
          </cell>
          <cell r="D304" t="str">
            <v>Profit &amp; Loss (no CoS, no total cost method!)</v>
          </cell>
          <cell r="E304">
            <v>0.37</v>
          </cell>
        </row>
        <row r="305">
          <cell r="A305" t="str">
            <v>T1001</v>
          </cell>
          <cell r="B305" t="str">
            <v>MIGRAT1001</v>
          </cell>
          <cell r="C305" t="str">
            <v/>
          </cell>
          <cell r="D305" t="str">
            <v>Total Migration offset accounts common</v>
          </cell>
          <cell r="E305">
            <v>-0.3</v>
          </cell>
        </row>
        <row r="306">
          <cell r="A306" t="str">
            <v>T1002</v>
          </cell>
          <cell r="B306" t="str">
            <v>MIGRAT1002</v>
          </cell>
          <cell r="C306" t="str">
            <v/>
          </cell>
          <cell r="D306" t="str">
            <v>Total Migration offset accounts IFRS</v>
          </cell>
          <cell r="E306">
            <v>0.85</v>
          </cell>
        </row>
        <row r="307">
          <cell r="A307" t="str">
            <v>T1003</v>
          </cell>
          <cell r="B307" t="str">
            <v>MIGRAT1003</v>
          </cell>
          <cell r="C307" t="str">
            <v/>
          </cell>
          <cell r="D307" t="str">
            <v>Total Migration offset accounts Local GAAP</v>
          </cell>
          <cell r="E307">
            <v>-0.68</v>
          </cell>
        </row>
        <row r="308">
          <cell r="A308" t="str">
            <v>TION1</v>
          </cell>
          <cell r="B308" t="str">
            <v>MIGRATION1</v>
          </cell>
          <cell r="C308" t="str">
            <v/>
          </cell>
          <cell r="D308" t="str">
            <v>Total Migration offset accounts</v>
          </cell>
          <cell r="E308">
            <v>-0.13</v>
          </cell>
        </row>
        <row r="309">
          <cell r="A309" t="str">
            <v>T2001</v>
          </cell>
          <cell r="B309" t="str">
            <v>MIGRAT2001</v>
          </cell>
          <cell r="C309" t="str">
            <v/>
          </cell>
          <cell r="D309" t="str">
            <v>Total Suspense accounts for migration common</v>
          </cell>
          <cell r="E309">
            <v>1.65</v>
          </cell>
        </row>
        <row r="310">
          <cell r="A310" t="str">
            <v>T2002</v>
          </cell>
          <cell r="B310" t="str">
            <v>MIGRAT2002</v>
          </cell>
          <cell r="C310" t="str">
            <v/>
          </cell>
          <cell r="D310" t="str">
            <v>Total Suspense accounts for migration IFRS</v>
          </cell>
          <cell r="E310">
            <v>-1.2</v>
          </cell>
        </row>
        <row r="311">
          <cell r="A311" t="str">
            <v>T2003</v>
          </cell>
          <cell r="B311" t="str">
            <v>MIGRAT2003</v>
          </cell>
          <cell r="C311" t="str">
            <v/>
          </cell>
          <cell r="D311" t="str">
            <v>Total Suspense accounts for migration Local G</v>
          </cell>
          <cell r="E311">
            <v>0.33</v>
          </cell>
        </row>
        <row r="312">
          <cell r="A312" t="str">
            <v>TION2</v>
          </cell>
          <cell r="B312" t="str">
            <v>MIGRATION2</v>
          </cell>
          <cell r="C312" t="str">
            <v/>
          </cell>
          <cell r="D312" t="str">
            <v>Total Suspense accounts for migration</v>
          </cell>
          <cell r="E312">
            <v>0.78</v>
          </cell>
        </row>
        <row r="313">
          <cell r="A313" t="str">
            <v>ATION</v>
          </cell>
          <cell r="B313" t="str">
            <v>MIGRATION</v>
          </cell>
          <cell r="C313" t="str">
            <v/>
          </cell>
          <cell r="D313" t="str">
            <v>Migration Accounts</v>
          </cell>
          <cell r="E313">
            <v>0.65</v>
          </cell>
        </row>
        <row r="314">
          <cell r="A314" t="str">
            <v>ASSET</v>
          </cell>
          <cell r="B314" t="str">
            <v>LOCALASSET</v>
          </cell>
          <cell r="C314" t="str">
            <v/>
          </cell>
          <cell r="D314" t="str">
            <v/>
          </cell>
          <cell r="E314">
            <v>13616305802.02</v>
          </cell>
        </row>
        <row r="315">
          <cell r="A315" t="str">
            <v>LREST</v>
          </cell>
          <cell r="B315" t="str">
            <v>LOCALREST</v>
          </cell>
          <cell r="C315" t="str">
            <v/>
          </cell>
          <cell r="D315" t="str">
            <v/>
          </cell>
          <cell r="E315">
            <v>21698825253.66</v>
          </cell>
        </row>
        <row r="316">
          <cell r="A316" t="str">
            <v>835</v>
          </cell>
          <cell r="B316" t="str">
            <v>835</v>
          </cell>
          <cell r="C316" t="str">
            <v/>
          </cell>
          <cell r="D316" t="str">
            <v/>
          </cell>
          <cell r="E316">
            <v>-2286525289.4400001</v>
          </cell>
        </row>
        <row r="317">
          <cell r="A317" t="str">
            <v>870</v>
          </cell>
          <cell r="B317" t="str">
            <v>870</v>
          </cell>
          <cell r="C317" t="str">
            <v/>
          </cell>
          <cell r="D317" t="str">
            <v/>
          </cell>
          <cell r="E317">
            <v>-33028605766.889999</v>
          </cell>
        </row>
        <row r="318">
          <cell r="A318" t="str">
            <v>87</v>
          </cell>
          <cell r="B318" t="str">
            <v>87</v>
          </cell>
          <cell r="C318" t="str">
            <v/>
          </cell>
          <cell r="D318" t="str">
            <v/>
          </cell>
          <cell r="E318">
            <v>-33028605766.889999</v>
          </cell>
        </row>
        <row r="319">
          <cell r="A319" t="str">
            <v>35_87</v>
          </cell>
          <cell r="B319" t="str">
            <v>835_87</v>
          </cell>
          <cell r="C319" t="str">
            <v/>
          </cell>
          <cell r="D319" t="str">
            <v/>
          </cell>
          <cell r="E319">
            <v>-35315131056.330002</v>
          </cell>
        </row>
        <row r="320">
          <cell r="A320" t="str">
            <v>LOCAL</v>
          </cell>
          <cell r="B320" t="str">
            <v>LOCAL</v>
          </cell>
          <cell r="C320" t="str">
            <v/>
          </cell>
          <cell r="D320" t="str">
            <v/>
          </cell>
          <cell r="E320">
            <v>-0.65</v>
          </cell>
        </row>
        <row r="321">
          <cell r="A321" t="str">
            <v>TECHN</v>
          </cell>
          <cell r="B321" t="str">
            <v>LOCALTECHN</v>
          </cell>
          <cell r="C321" t="str">
            <v/>
          </cell>
          <cell r="D321" t="str">
            <v>Local GAAP accounts and technical accounts</v>
          </cell>
          <cell r="E321">
            <v>-0.65</v>
          </cell>
        </row>
        <row r="322">
          <cell r="A322" t="str">
            <v>802P</v>
          </cell>
          <cell r="B322" t="str">
            <v>802P</v>
          </cell>
          <cell r="C322" t="str">
            <v/>
          </cell>
          <cell r="D322" t="str">
            <v/>
          </cell>
          <cell r="E322">
            <v>-0.22</v>
          </cell>
        </row>
        <row r="323">
          <cell r="A323" t="str">
            <v>81</v>
          </cell>
          <cell r="B323" t="str">
            <v>81</v>
          </cell>
          <cell r="C323" t="str">
            <v/>
          </cell>
          <cell r="D323" t="str">
            <v/>
          </cell>
          <cell r="E323">
            <v>-0.22</v>
          </cell>
        </row>
        <row r="324">
          <cell r="A324" t="str">
            <v>831</v>
          </cell>
          <cell r="B324" t="str">
            <v>831</v>
          </cell>
          <cell r="C324" t="str">
            <v/>
          </cell>
          <cell r="D324" t="str">
            <v/>
          </cell>
          <cell r="E324">
            <v>-0.36</v>
          </cell>
        </row>
        <row r="325">
          <cell r="A325" t="str">
            <v>837</v>
          </cell>
          <cell r="B325" t="str">
            <v>837</v>
          </cell>
          <cell r="C325" t="str">
            <v/>
          </cell>
          <cell r="D325" t="str">
            <v/>
          </cell>
          <cell r="E325">
            <v>0.21</v>
          </cell>
        </row>
        <row r="326">
          <cell r="A326" t="str">
            <v>83</v>
          </cell>
          <cell r="B326" t="str">
            <v>83</v>
          </cell>
          <cell r="C326" t="str">
            <v/>
          </cell>
          <cell r="D326" t="str">
            <v/>
          </cell>
          <cell r="E326">
            <v>-0.15</v>
          </cell>
        </row>
        <row r="327">
          <cell r="A327" t="str">
            <v>00000</v>
          </cell>
          <cell r="B327" t="str">
            <v>800000000</v>
          </cell>
          <cell r="C327" t="str">
            <v/>
          </cell>
          <cell r="D327" t="str">
            <v>Distribution, suspense and settlement account</v>
          </cell>
          <cell r="E327">
            <v>-0.37</v>
          </cell>
        </row>
        <row r="328">
          <cell r="A328" t="str">
            <v>XXXXX</v>
          </cell>
          <cell r="B328" t="str">
            <v>XXXXXXXXXX</v>
          </cell>
          <cell r="C328" t="str">
            <v/>
          </cell>
          <cell r="D328" t="str">
            <v/>
          </cell>
          <cell r="E328">
            <v>-0.37</v>
          </cell>
        </row>
        <row r="329">
          <cell r="A329" t="str">
            <v/>
          </cell>
          <cell r="B329" t="str">
            <v/>
          </cell>
          <cell r="C329" t="str">
            <v/>
          </cell>
          <cell r="D329" t="str">
            <v/>
          </cell>
          <cell r="E329">
            <v>3395411609.4699998</v>
          </cell>
        </row>
        <row r="330">
          <cell r="A330" t="str">
            <v/>
          </cell>
        </row>
        <row r="331">
          <cell r="A331" t="str">
            <v/>
          </cell>
        </row>
        <row r="332">
          <cell r="A332" t="str">
            <v/>
          </cell>
        </row>
        <row r="333">
          <cell r="A333" t="str">
            <v/>
          </cell>
        </row>
        <row r="334">
          <cell r="A334" t="str">
            <v/>
          </cell>
        </row>
        <row r="335">
          <cell r="A335" t="str">
            <v/>
          </cell>
        </row>
        <row r="336">
          <cell r="A336" t="str">
            <v/>
          </cell>
        </row>
        <row r="337">
          <cell r="A337" t="str">
            <v/>
          </cell>
        </row>
        <row r="338">
          <cell r="A338" t="str">
            <v/>
          </cell>
        </row>
        <row r="339">
          <cell r="A339" t="str">
            <v/>
          </cell>
        </row>
        <row r="340">
          <cell r="A340" t="str">
            <v/>
          </cell>
        </row>
        <row r="341">
          <cell r="A341" t="str">
            <v/>
          </cell>
        </row>
        <row r="342">
          <cell r="A342" t="str">
            <v/>
          </cell>
        </row>
        <row r="343">
          <cell r="A343" t="str">
            <v/>
          </cell>
        </row>
        <row r="344">
          <cell r="A344" t="str">
            <v/>
          </cell>
        </row>
        <row r="345">
          <cell r="A345" t="str">
            <v/>
          </cell>
        </row>
        <row r="346">
          <cell r="A346" t="str">
            <v/>
          </cell>
        </row>
        <row r="347">
          <cell r="A347" t="str">
            <v/>
          </cell>
        </row>
        <row r="348">
          <cell r="A348" t="str">
            <v/>
          </cell>
        </row>
        <row r="349">
          <cell r="A349" t="str">
            <v/>
          </cell>
        </row>
        <row r="350">
          <cell r="A350" t="str">
            <v/>
          </cell>
        </row>
        <row r="351">
          <cell r="A351" t="str">
            <v/>
          </cell>
        </row>
        <row r="352">
          <cell r="A352" t="str">
            <v/>
          </cell>
        </row>
        <row r="353">
          <cell r="A353" t="str">
            <v/>
          </cell>
        </row>
        <row r="354">
          <cell r="A354" t="str">
            <v/>
          </cell>
        </row>
        <row r="355">
          <cell r="A355" t="str">
            <v/>
          </cell>
        </row>
        <row r="356">
          <cell r="A356" t="str">
            <v/>
          </cell>
        </row>
        <row r="357">
          <cell r="A357" t="str">
            <v/>
          </cell>
        </row>
        <row r="358">
          <cell r="A358" t="str">
            <v/>
          </cell>
        </row>
        <row r="359">
          <cell r="A359" t="str">
            <v/>
          </cell>
        </row>
        <row r="360">
          <cell r="A360" t="str">
            <v/>
          </cell>
        </row>
        <row r="361">
          <cell r="A361" t="str">
            <v/>
          </cell>
        </row>
        <row r="362">
          <cell r="A362" t="str">
            <v/>
          </cell>
        </row>
        <row r="363">
          <cell r="A363" t="str">
            <v/>
          </cell>
        </row>
        <row r="364">
          <cell r="A364" t="str">
            <v/>
          </cell>
        </row>
        <row r="365">
          <cell r="A365" t="str">
            <v/>
          </cell>
        </row>
        <row r="366">
          <cell r="A366" t="str">
            <v/>
          </cell>
        </row>
        <row r="367">
          <cell r="A367" t="str">
            <v/>
          </cell>
        </row>
        <row r="368">
          <cell r="A368" t="str">
            <v/>
          </cell>
        </row>
        <row r="369">
          <cell r="A369" t="str">
            <v/>
          </cell>
        </row>
        <row r="370">
          <cell r="A370" t="str">
            <v/>
          </cell>
        </row>
        <row r="371">
          <cell r="A371" t="str">
            <v/>
          </cell>
        </row>
        <row r="372">
          <cell r="A372" t="str">
            <v/>
          </cell>
        </row>
        <row r="373">
          <cell r="A373" t="str">
            <v/>
          </cell>
        </row>
        <row r="374">
          <cell r="A374" t="str">
            <v/>
          </cell>
        </row>
        <row r="375">
          <cell r="A375" t="str">
            <v/>
          </cell>
        </row>
        <row r="376">
          <cell r="A376" t="str">
            <v/>
          </cell>
        </row>
        <row r="377">
          <cell r="A377" t="str">
            <v/>
          </cell>
        </row>
        <row r="378">
          <cell r="A378" t="str">
            <v/>
          </cell>
        </row>
        <row r="379">
          <cell r="A379" t="str">
            <v/>
          </cell>
        </row>
        <row r="380">
          <cell r="A380" t="str">
            <v/>
          </cell>
        </row>
        <row r="381">
          <cell r="A381" t="str">
            <v/>
          </cell>
        </row>
        <row r="382">
          <cell r="A382" t="str">
            <v/>
          </cell>
        </row>
        <row r="383">
          <cell r="A383" t="str">
            <v/>
          </cell>
        </row>
        <row r="384">
          <cell r="A384" t="str">
            <v/>
          </cell>
        </row>
        <row r="385">
          <cell r="A385" t="str">
            <v/>
          </cell>
        </row>
        <row r="386">
          <cell r="A386" t="str">
            <v/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_Movement"/>
      <sheetName val="Summary_Cash_Flow"/>
      <sheetName val="Assumptions"/>
      <sheetName val="Cashflow_2026_Collection_wise"/>
      <sheetName val="Cashflow_2026_Collection_USD"/>
      <sheetName val="Cashflow_2025"/>
      <sheetName val="Cashflow_2024"/>
      <sheetName val="Cashflow_2024_USD"/>
      <sheetName val="Summary"/>
      <sheetName val="Summary_Cash_Flow_2021"/>
      <sheetName val="Cash_Flow_2022_Pessimistic"/>
      <sheetName val="Cash_Flow_2022_ Reasonable (2)"/>
      <sheetName val="Cash_Flow_2022_ Reasonable"/>
      <sheetName val="Cash_Flow_2022_Optimistic "/>
      <sheetName val="Cash_Flow_2023"/>
      <sheetName val="Cashflow_2023_USD"/>
      <sheetName val="RBIN"/>
      <sheetName val="Cashflow_2025_Revenue_Forecast"/>
      <sheetName val="Collection"/>
      <sheetName val="Interest"/>
      <sheetName val="Dividend"/>
      <sheetName val="Salaries"/>
      <sheetName val="Travel"/>
      <sheetName val="CI"/>
      <sheetName val="Rental"/>
      <sheetName val="Other_Opex_Split"/>
      <sheetName val="IC Schedule"/>
      <sheetName val="Capex"/>
      <sheetName val="Risk Impact"/>
      <sheetName val="Others"/>
      <sheetName val="Cash_Flow_2023 with USD &amp;INR"/>
      <sheetName val="Cash_Flow_2023 (2)"/>
      <sheetName val="2023 vs 2024"/>
      <sheetName val="Actual"/>
    </sheetNames>
    <sheetDataSet>
      <sheetData sheetId="0" refreshError="1"/>
      <sheetData sheetId="1" refreshError="1"/>
      <sheetData sheetId="2" refreshError="1"/>
      <sheetData sheetId="3">
        <row r="16">
          <cell r="D16">
            <v>8743.018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2DE1-0D3C-40F2-8ED7-4C76B83291FF}">
  <sheetPr>
    <tabColor rgb="FFFFC000"/>
  </sheetPr>
  <dimension ref="A1:L169"/>
  <sheetViews>
    <sheetView tabSelected="1" zoomScale="79" zoomScaleNormal="90" workbookViewId="0">
      <pane xSplit="4" ySplit="1" topLeftCell="E24" activePane="bottomRight" state="frozen"/>
      <selection activeCell="J51" sqref="J51"/>
      <selection pane="topRight" activeCell="J51" sqref="J51"/>
      <selection pane="bottomLeft" activeCell="J51" sqref="J51"/>
      <selection pane="bottomRight" activeCell="K52" sqref="K52"/>
    </sheetView>
  </sheetViews>
  <sheetFormatPr baseColWidth="10" defaultColWidth="8.83203125" defaultRowHeight="15"/>
  <cols>
    <col min="1" max="1" width="29" bestFit="1" customWidth="1"/>
    <col min="2" max="2" width="33.5" bestFit="1" customWidth="1"/>
    <col min="3" max="3" width="28.1640625" bestFit="1" customWidth="1"/>
    <col min="4" max="4" width="52.6640625" bestFit="1" customWidth="1"/>
    <col min="5" max="5" width="15.5" style="1" customWidth="1"/>
    <col min="6" max="6" width="17" style="22" customWidth="1"/>
    <col min="7" max="7" width="18" style="22" bestFit="1" customWidth="1"/>
    <col min="8" max="8" width="18" style="22" customWidth="1"/>
    <col min="9" max="9" width="18" style="85" customWidth="1"/>
    <col min="10" max="10" width="14.5" bestFit="1" customWidth="1"/>
    <col min="11" max="12" width="18" style="22" bestFit="1" customWidth="1"/>
  </cols>
  <sheetData>
    <row r="1" spans="1:12" s="1" customFormat="1">
      <c r="A1" s="13" t="s">
        <v>285</v>
      </c>
      <c r="B1" s="13" t="s">
        <v>259</v>
      </c>
      <c r="C1" s="13" t="s">
        <v>260</v>
      </c>
      <c r="D1" s="13" t="s">
        <v>0</v>
      </c>
      <c r="E1" s="47" t="s">
        <v>262</v>
      </c>
      <c r="F1" s="40">
        <v>46174</v>
      </c>
      <c r="G1" s="40">
        <v>46082</v>
      </c>
      <c r="H1" s="72" t="s">
        <v>653</v>
      </c>
      <c r="I1" s="72" t="s">
        <v>654</v>
      </c>
      <c r="K1" s="40">
        <v>45901</v>
      </c>
      <c r="L1" s="40">
        <v>45992</v>
      </c>
    </row>
    <row r="2" spans="1:12">
      <c r="A2" s="1" t="s">
        <v>286</v>
      </c>
      <c r="B2" s="1" t="s">
        <v>287</v>
      </c>
      <c r="C2" s="1" t="s">
        <v>287</v>
      </c>
      <c r="D2" s="3" t="s">
        <v>288</v>
      </c>
      <c r="E2" s="5" t="s">
        <v>294</v>
      </c>
      <c r="F2" s="63">
        <f>IFERROR(VLOOKUP(E2,'[9]SAP Input-BS'!$A$5:$F$502,5,0),0)</f>
        <v>-6507173257.2200003</v>
      </c>
      <c r="G2" s="63">
        <f>IFERROR(VLOOKUP(E2,'[10]SAP Input-BS'!$A$5:$F$500,5,0),0)</f>
        <v>-5048384363.0100002</v>
      </c>
      <c r="H2" s="75">
        <f>F2-G2</f>
        <v>-1458788894.21</v>
      </c>
      <c r="I2" s="77"/>
      <c r="J2" t="s">
        <v>651</v>
      </c>
      <c r="K2" s="27">
        <f>IFERROR(VLOOKUP(E2,'[11]SAP Input-BS'!$A$5:$E$500,5,0),0)</f>
        <v>-6316589877.4300003</v>
      </c>
      <c r="L2" s="27">
        <v>-7963546834.4399996</v>
      </c>
    </row>
    <row r="3" spans="1:12">
      <c r="A3" s="1" t="s">
        <v>286</v>
      </c>
      <c r="B3" s="1" t="s">
        <v>287</v>
      </c>
      <c r="C3" s="1" t="s">
        <v>287</v>
      </c>
      <c r="D3" s="3" t="s">
        <v>289</v>
      </c>
      <c r="E3" s="6" t="s">
        <v>295</v>
      </c>
      <c r="F3" s="63">
        <f>IFERROR(VLOOKUP(E3,'[9]SAP Input-BS'!$A$5:$F$502,5,0),0)</f>
        <v>-4830249126</v>
      </c>
      <c r="G3" s="63">
        <f>IFERROR(VLOOKUP(E3,'[10]SAP Input-BS'!$A$5:$F$500,5,0),0)</f>
        <v>-4015849430.6700001</v>
      </c>
      <c r="H3" s="75">
        <f t="shared" ref="H3:H66" si="0">F3-G3</f>
        <v>-814399695.32999992</v>
      </c>
      <c r="I3" s="77"/>
      <c r="K3" s="27">
        <f>IFERROR(VLOOKUP(E3,'[11]SAP Input-BS'!$A$5:$E$500,5,0),0)</f>
        <v>-2979044584.77</v>
      </c>
      <c r="L3" s="27">
        <v>-4296996330.5</v>
      </c>
    </row>
    <row r="4" spans="1:12">
      <c r="A4" s="1" t="s">
        <v>286</v>
      </c>
      <c r="B4" s="1" t="s">
        <v>287</v>
      </c>
      <c r="C4" s="1" t="s">
        <v>287</v>
      </c>
      <c r="D4" s="3" t="s">
        <v>290</v>
      </c>
      <c r="E4" s="6" t="s">
        <v>296</v>
      </c>
      <c r="F4" s="63">
        <f>IFERROR(VLOOKUP(E4,'[9]SAP Input-BS'!$A$5:$F$502,5,0),0)</f>
        <v>-28893229.879999999</v>
      </c>
      <c r="G4" s="63">
        <f>IFERROR(VLOOKUP(E4,'[10]SAP Input-BS'!$A$5:$F$500,5,0),0)</f>
        <v>-8508157.8800000008</v>
      </c>
      <c r="H4" s="75">
        <f t="shared" si="0"/>
        <v>-20385072</v>
      </c>
      <c r="I4" s="77"/>
      <c r="K4" s="27">
        <f>IFERROR(VLOOKUP(E4,'[11]SAP Input-BS'!$A$5:$E$500,5,0),0)</f>
        <v>-128815167.81999999</v>
      </c>
      <c r="L4" s="27">
        <v>-237931544.69999999</v>
      </c>
    </row>
    <row r="5" spans="1:12">
      <c r="A5" s="1" t="s">
        <v>286</v>
      </c>
      <c r="B5" s="1" t="s">
        <v>287</v>
      </c>
      <c r="C5" s="1" t="s">
        <v>287</v>
      </c>
      <c r="D5" s="3" t="s">
        <v>291</v>
      </c>
      <c r="E5" s="6" t="s">
        <v>297</v>
      </c>
      <c r="F5" s="71">
        <f>IFERROR(VLOOKUP(E5,'[9]SAP Input-BS'!$A$5:$F$502,5,0),0)</f>
        <v>-44746308.710000001</v>
      </c>
      <c r="G5" s="27">
        <f>IFERROR(VLOOKUP(E5,'[10]SAP Input-BS'!$A$5:$F$500,5,0),0)</f>
        <v>-44746308</v>
      </c>
      <c r="H5" s="73">
        <f t="shared" si="0"/>
        <v>-0.71000000089406967</v>
      </c>
      <c r="I5" s="77"/>
      <c r="J5" t="s">
        <v>651</v>
      </c>
      <c r="K5" s="27">
        <f>IFERROR(VLOOKUP(E5,'[11]SAP Input-BS'!$A$5:$E$500,5,0),0)</f>
        <v>0</v>
      </c>
      <c r="L5" s="27">
        <v>-44746309</v>
      </c>
    </row>
    <row r="6" spans="1:12">
      <c r="A6" s="1" t="s">
        <v>286</v>
      </c>
      <c r="B6" s="1" t="s">
        <v>287</v>
      </c>
      <c r="C6" s="1" t="s">
        <v>287</v>
      </c>
      <c r="D6" s="3" t="s">
        <v>292</v>
      </c>
      <c r="E6" s="6" t="s">
        <v>298</v>
      </c>
      <c r="F6" s="27">
        <f>IFERROR(VLOOKUP(E6,'[9]SAP Input-BS'!$A$5:$F$502,5,0),0)</f>
        <v>0</v>
      </c>
      <c r="G6" s="27">
        <f>IFERROR(VLOOKUP(E6,'[10]SAP Input-BS'!$A$5:$F$500,5,0),0)</f>
        <v>0</v>
      </c>
      <c r="H6" s="73">
        <f t="shared" si="0"/>
        <v>0</v>
      </c>
      <c r="I6" s="77"/>
      <c r="K6" s="27">
        <f>IFERROR(VLOOKUP(E6,'[11]SAP Input-BS'!$A$5:$E$500,5,0),0)</f>
        <v>0</v>
      </c>
      <c r="L6" s="27">
        <v>0</v>
      </c>
    </row>
    <row r="7" spans="1:12">
      <c r="A7" s="19" t="s">
        <v>286</v>
      </c>
      <c r="B7" s="19" t="s">
        <v>287</v>
      </c>
      <c r="C7" s="19" t="s">
        <v>287</v>
      </c>
      <c r="D7" s="53" t="s">
        <v>293</v>
      </c>
      <c r="E7" s="24" t="s">
        <v>299</v>
      </c>
      <c r="F7" s="28">
        <f>IFERROR(VLOOKUP(E7,'[9]SAP Input-BS'!$A$5:$F$502,5,0),0)</f>
        <v>-11243961865.809999</v>
      </c>
      <c r="G7" s="28">
        <f>IFERROR(VLOOKUP(E7,'[10]SAP Input-BS'!$A$5:$F$500,5,0),0)</f>
        <v>-9117488259.5599995</v>
      </c>
      <c r="H7" s="73">
        <f t="shared" si="0"/>
        <v>-2126473606.25</v>
      </c>
      <c r="I7" s="83"/>
      <c r="K7" s="28">
        <f>IFERROR(VLOOKUP(E7,'[11]SAP Input-BS'!$A$5:$E$500,5,0),0)</f>
        <v>-9424449630.0200005</v>
      </c>
      <c r="L7" s="28">
        <v>-12543221018.639999</v>
      </c>
    </row>
    <row r="8" spans="1:12">
      <c r="A8" s="1" t="s">
        <v>286</v>
      </c>
      <c r="B8" s="1" t="s">
        <v>287</v>
      </c>
      <c r="C8" s="1" t="s">
        <v>287</v>
      </c>
      <c r="D8" s="3" t="s">
        <v>300</v>
      </c>
      <c r="E8" s="6" t="s">
        <v>301</v>
      </c>
      <c r="F8" s="27">
        <f>IFERROR(VLOOKUP(E8,'[9]SAP Input-BS'!$A$5:$F$502,5,0),0)</f>
        <v>0</v>
      </c>
      <c r="G8" s="27">
        <f>IFERROR(VLOOKUP(E8,'[10]SAP Input-BS'!$A$5:$F$500,5,0),0)</f>
        <v>0</v>
      </c>
      <c r="H8" s="73">
        <f t="shared" si="0"/>
        <v>0</v>
      </c>
      <c r="I8" s="77"/>
      <c r="K8" s="27">
        <f>IFERROR(VLOOKUP(E8,'[11]SAP Input-BS'!$A$5:$E$500,5,0),0)</f>
        <v>0</v>
      </c>
      <c r="L8" s="27">
        <v>0</v>
      </c>
    </row>
    <row r="9" spans="1:12">
      <c r="A9" s="19" t="s">
        <v>286</v>
      </c>
      <c r="B9" s="19" t="s">
        <v>287</v>
      </c>
      <c r="C9" s="19" t="s">
        <v>287</v>
      </c>
      <c r="D9" s="53" t="s">
        <v>302</v>
      </c>
      <c r="E9" s="21" t="s">
        <v>303</v>
      </c>
      <c r="F9" s="81">
        <f>IFERROR(VLOOKUP(E9,'[9]SAP Input-BS'!$A$5:$F$502,5,0),0)</f>
        <v>-11411061921.809999</v>
      </c>
      <c r="G9" s="28">
        <f>IFERROR(VLOOKUP(E9,'[10]SAP Input-BS'!$A$5:$F$500,5,0),0)</f>
        <v>-9117488259.5599995</v>
      </c>
      <c r="H9" s="73">
        <f t="shared" si="0"/>
        <v>-2293573662.25</v>
      </c>
      <c r="I9" s="83"/>
      <c r="K9" s="28">
        <f>IFERROR(VLOOKUP(E9,'[11]SAP Input-BS'!$A$5:$E$500,5,0),0)</f>
        <v>-9424449630.0200005</v>
      </c>
      <c r="L9" s="28">
        <v>-12543221018.639999</v>
      </c>
    </row>
    <row r="10" spans="1:12">
      <c r="A10" s="1" t="s">
        <v>286</v>
      </c>
      <c r="B10" s="1" t="s">
        <v>304</v>
      </c>
      <c r="C10" s="1" t="s">
        <v>304</v>
      </c>
      <c r="D10" s="3" t="s">
        <v>304</v>
      </c>
      <c r="E10" s="6" t="s">
        <v>305</v>
      </c>
      <c r="F10" s="27">
        <f>IFERROR(VLOOKUP(E10,'[9]SAP Input-BS'!$A$5:$F$502,5,0),0)</f>
        <v>-1755486265.96</v>
      </c>
      <c r="G10" s="27">
        <f>IFERROR(VLOOKUP(E10,'[10]SAP Input-BS'!$A$5:$F$500,5,0),0)</f>
        <v>-2666177723.3499999</v>
      </c>
      <c r="H10" s="73">
        <f t="shared" si="0"/>
        <v>910691457.38999987</v>
      </c>
      <c r="I10" s="77"/>
      <c r="K10" s="27">
        <f>IFERROR(VLOOKUP(E10,'[11]SAP Input-BS'!$A$5:$E$500,5,0),0)</f>
        <v>-1106615644.9000001</v>
      </c>
      <c r="L10" s="27">
        <v>-2297422949.1199999</v>
      </c>
    </row>
    <row r="11" spans="1:12">
      <c r="A11" s="19" t="s">
        <v>286</v>
      </c>
      <c r="B11" s="19" t="s">
        <v>304</v>
      </c>
      <c r="C11" s="19" t="s">
        <v>304</v>
      </c>
      <c r="D11" s="53" t="s">
        <v>307</v>
      </c>
      <c r="E11" s="21" t="s">
        <v>306</v>
      </c>
      <c r="F11" s="81">
        <f>IFERROR(VLOOKUP(E11,'[9]SAP Input-BS'!$A$5:$F$502,5,0),0)</f>
        <v>-1755486265.96</v>
      </c>
      <c r="G11" s="28">
        <f>IFERROR(VLOOKUP(E11,'[10]SAP Input-BS'!$A$5:$F$500,5,0),0)</f>
        <v>-2666177723.3499999</v>
      </c>
      <c r="H11" s="73">
        <f t="shared" si="0"/>
        <v>910691457.38999987</v>
      </c>
      <c r="I11" s="83"/>
      <c r="K11" s="28">
        <f>IFERROR(VLOOKUP(E11,'[11]SAP Input-BS'!$A$5:$E$500,5,0),0)</f>
        <v>-1106615644.9000001</v>
      </c>
      <c r="L11" s="28">
        <v>-2297422949.1199999</v>
      </c>
    </row>
    <row r="12" spans="1:12">
      <c r="A12" s="1" t="s">
        <v>286</v>
      </c>
      <c r="B12" s="1" t="s">
        <v>308</v>
      </c>
      <c r="D12" s="3" t="s">
        <v>309</v>
      </c>
      <c r="E12" s="6" t="s">
        <v>315</v>
      </c>
      <c r="F12" s="27">
        <f>IFERROR(VLOOKUP(E12,'[9]SAP Input-BS'!$A$5:$F$502,5,0),0)</f>
        <v>0</v>
      </c>
      <c r="G12" s="27">
        <f>IFERROR(VLOOKUP(E12,'[10]SAP Input-BS'!$A$5:$F$500,5,0),0)</f>
        <v>0</v>
      </c>
      <c r="H12" s="73">
        <f t="shared" si="0"/>
        <v>0</v>
      </c>
      <c r="I12" s="77"/>
      <c r="K12" s="27">
        <f>IFERROR(VLOOKUP(E12,'[11]SAP Input-BS'!$A$5:$E$500,5,0),0)</f>
        <v>0</v>
      </c>
      <c r="L12" s="27">
        <v>0</v>
      </c>
    </row>
    <row r="13" spans="1:12">
      <c r="A13" s="1" t="s">
        <v>286</v>
      </c>
      <c r="B13" s="1" t="s">
        <v>308</v>
      </c>
      <c r="D13" s="3" t="s">
        <v>310</v>
      </c>
      <c r="E13" s="6" t="s">
        <v>316</v>
      </c>
      <c r="F13" s="27">
        <f>IFERROR(VLOOKUP(E13,'[9]SAP Input-BS'!$A$5:$F$502,5,0),0)</f>
        <v>0</v>
      </c>
      <c r="G13" s="27">
        <f>IFERROR(VLOOKUP(E13,'[10]SAP Input-BS'!$A$5:$F$500,5,0),0)</f>
        <v>0</v>
      </c>
      <c r="H13" s="73">
        <f t="shared" si="0"/>
        <v>0</v>
      </c>
      <c r="I13" s="77"/>
      <c r="K13" s="27">
        <f>IFERROR(VLOOKUP(E13,'[11]SAP Input-BS'!$A$5:$E$500,5,0),0)</f>
        <v>0</v>
      </c>
      <c r="L13" s="27">
        <v>0</v>
      </c>
    </row>
    <row r="14" spans="1:12">
      <c r="A14" s="1" t="s">
        <v>286</v>
      </c>
      <c r="B14" s="1" t="s">
        <v>308</v>
      </c>
      <c r="D14" s="3" t="s">
        <v>311</v>
      </c>
      <c r="E14" s="6" t="s">
        <v>317</v>
      </c>
      <c r="F14" s="27">
        <f>IFERROR(VLOOKUP(E14,'[9]SAP Input-BS'!$A$5:$F$502,5,0),0)</f>
        <v>0</v>
      </c>
      <c r="G14" s="27">
        <f>IFERROR(VLOOKUP(E14,'[10]SAP Input-BS'!$A$5:$F$500,5,0),0)</f>
        <v>0</v>
      </c>
      <c r="H14" s="73">
        <f t="shared" si="0"/>
        <v>0</v>
      </c>
      <c r="I14" s="77"/>
      <c r="K14" s="27">
        <f>IFERROR(VLOOKUP(E14,'[11]SAP Input-BS'!$A$5:$E$500,5,0),0)</f>
        <v>0</v>
      </c>
      <c r="L14" s="27">
        <v>0</v>
      </c>
    </row>
    <row r="15" spans="1:12">
      <c r="A15" s="1" t="s">
        <v>286</v>
      </c>
      <c r="B15" s="1" t="s">
        <v>308</v>
      </c>
      <c r="D15" s="3" t="s">
        <v>312</v>
      </c>
      <c r="E15" s="6" t="s">
        <v>318</v>
      </c>
      <c r="F15" s="27">
        <f>IFERROR(VLOOKUP(E15,'[9]SAP Input-BS'!$A$5:$F$502,5,0),0)</f>
        <v>0</v>
      </c>
      <c r="G15" s="27">
        <f>IFERROR(VLOOKUP(E15,'[10]SAP Input-BS'!$A$5:$F$500,5,0),0)</f>
        <v>0</v>
      </c>
      <c r="H15" s="73">
        <f t="shared" si="0"/>
        <v>0</v>
      </c>
      <c r="I15" s="77"/>
      <c r="K15" s="27">
        <f>IFERROR(VLOOKUP(E15,'[11]SAP Input-BS'!$A$5:$E$500,5,0),0)</f>
        <v>0</v>
      </c>
      <c r="L15" s="27">
        <v>0</v>
      </c>
    </row>
    <row r="16" spans="1:12">
      <c r="A16" s="1" t="s">
        <v>286</v>
      </c>
      <c r="B16" s="1" t="s">
        <v>308</v>
      </c>
      <c r="D16" s="3" t="s">
        <v>313</v>
      </c>
      <c r="E16" s="6" t="s">
        <v>319</v>
      </c>
      <c r="F16" s="27">
        <f>IFERROR(VLOOKUP(E16,'[9]SAP Input-BS'!$A$5:$F$502,5,0),0)</f>
        <v>0</v>
      </c>
      <c r="G16" s="27">
        <f>IFERROR(VLOOKUP(E16,'[10]SAP Input-BS'!$A$5:$F$500,5,0),0)</f>
        <v>0</v>
      </c>
      <c r="H16" s="73">
        <f t="shared" si="0"/>
        <v>0</v>
      </c>
      <c r="I16" s="77"/>
      <c r="K16" s="27">
        <f>IFERROR(VLOOKUP(E16,'[11]SAP Input-BS'!$A$5:$E$500,5,0),0)</f>
        <v>0</v>
      </c>
      <c r="L16" s="27">
        <v>0</v>
      </c>
    </row>
    <row r="17" spans="1:12" s="1" customFormat="1">
      <c r="A17" s="19" t="s">
        <v>286</v>
      </c>
      <c r="B17" s="19" t="s">
        <v>308</v>
      </c>
      <c r="C17" s="19"/>
      <c r="D17" s="53" t="s">
        <v>314</v>
      </c>
      <c r="E17" s="24" t="s">
        <v>320</v>
      </c>
      <c r="F17" s="28">
        <f>IFERROR(VLOOKUP(E17,'[9]SAP Input-BS'!$A$5:$F$502,5,0),0)</f>
        <v>0</v>
      </c>
      <c r="G17" s="28">
        <f>IFERROR(VLOOKUP(E17,'[10]SAP Input-BS'!$A$5:$F$500,5,0),0)</f>
        <v>0</v>
      </c>
      <c r="H17" s="73">
        <f t="shared" si="0"/>
        <v>0</v>
      </c>
      <c r="I17" s="83"/>
      <c r="K17" s="28">
        <f>IFERROR(VLOOKUP(E17,'[11]SAP Input-BS'!$A$5:$E$500,5,0),0)</f>
        <v>0</v>
      </c>
      <c r="L17" s="28">
        <v>0</v>
      </c>
    </row>
    <row r="18" spans="1:12">
      <c r="A18" s="1" t="s">
        <v>286</v>
      </c>
      <c r="B18" s="1" t="s">
        <v>326</v>
      </c>
      <c r="D18" s="3" t="s">
        <v>35</v>
      </c>
      <c r="E18" s="6" t="s">
        <v>321</v>
      </c>
      <c r="F18" s="27">
        <f>IFERROR(VLOOKUP(E18,'[9]SAP Input-BS'!$A$5:$F$502,5,0),0)</f>
        <v>0</v>
      </c>
      <c r="G18" s="27">
        <f>IFERROR(VLOOKUP(E18,'[10]SAP Input-BS'!$A$5:$F$500,5,0),0)</f>
        <v>0</v>
      </c>
      <c r="H18" s="73">
        <f t="shared" si="0"/>
        <v>0</v>
      </c>
      <c r="I18" s="77"/>
      <c r="K18" s="27">
        <f>IFERROR(VLOOKUP(E18,'[11]SAP Input-BS'!$A$5:$E$500,5,0),0)</f>
        <v>0</v>
      </c>
      <c r="L18" s="27">
        <v>0</v>
      </c>
    </row>
    <row r="19" spans="1:12">
      <c r="A19" s="1" t="s">
        <v>286</v>
      </c>
      <c r="B19" s="1" t="s">
        <v>326</v>
      </c>
      <c r="D19" s="3" t="s">
        <v>39</v>
      </c>
      <c r="E19" s="6" t="s">
        <v>322</v>
      </c>
      <c r="F19" s="27">
        <f>IFERROR(VLOOKUP(E19,'[9]SAP Input-BS'!$A$5:$F$502,5,0),0)</f>
        <v>0</v>
      </c>
      <c r="G19" s="27">
        <f>IFERROR(VLOOKUP(E19,'[10]SAP Input-BS'!$A$5:$F$500,5,0),0)</f>
        <v>0</v>
      </c>
      <c r="H19" s="73">
        <f t="shared" si="0"/>
        <v>0</v>
      </c>
      <c r="I19" s="77"/>
      <c r="K19" s="27">
        <f>IFERROR(VLOOKUP(E19,'[11]SAP Input-BS'!$A$5:$E$500,5,0),0)</f>
        <v>0</v>
      </c>
      <c r="L19" s="27">
        <v>0</v>
      </c>
    </row>
    <row r="20" spans="1:12">
      <c r="A20" s="1" t="s">
        <v>286</v>
      </c>
      <c r="B20" s="1" t="s">
        <v>326</v>
      </c>
      <c r="D20" s="3" t="s">
        <v>41</v>
      </c>
      <c r="E20" s="6" t="s">
        <v>323</v>
      </c>
      <c r="F20" s="27">
        <f>IFERROR(VLOOKUP(E20,'[9]SAP Input-BS'!$A$5:$F$502,5,0),0)</f>
        <v>0</v>
      </c>
      <c r="G20" s="27">
        <f>IFERROR(VLOOKUP(E20,'[10]SAP Input-BS'!$A$5:$F$500,5,0),0)</f>
        <v>0</v>
      </c>
      <c r="H20" s="73">
        <f t="shared" si="0"/>
        <v>0</v>
      </c>
      <c r="I20" s="77"/>
      <c r="K20" s="27">
        <f>IFERROR(VLOOKUP(E20,'[11]SAP Input-BS'!$A$5:$E$500,5,0),0)</f>
        <v>0</v>
      </c>
      <c r="L20" s="27">
        <v>0</v>
      </c>
    </row>
    <row r="21" spans="1:12">
      <c r="A21" s="1" t="s">
        <v>286</v>
      </c>
      <c r="B21" s="1" t="s">
        <v>326</v>
      </c>
      <c r="D21" s="3" t="s">
        <v>43</v>
      </c>
      <c r="E21" s="6" t="s">
        <v>324</v>
      </c>
      <c r="F21" s="27">
        <f>IFERROR(VLOOKUP(E21,'[9]SAP Input-BS'!$A$5:$F$502,5,0),0)</f>
        <v>0</v>
      </c>
      <c r="G21" s="27">
        <f>IFERROR(VLOOKUP(E21,'[10]SAP Input-BS'!$A$5:$F$500,5,0),0)</f>
        <v>0</v>
      </c>
      <c r="H21" s="73">
        <f t="shared" si="0"/>
        <v>0</v>
      </c>
      <c r="I21" s="77"/>
      <c r="K21" s="27">
        <f>IFERROR(VLOOKUP(E21,'[11]SAP Input-BS'!$A$5:$E$500,5,0),0)</f>
        <v>0</v>
      </c>
      <c r="L21" s="27">
        <v>0</v>
      </c>
    </row>
    <row r="22" spans="1:12">
      <c r="A22" s="19" t="s">
        <v>286</v>
      </c>
      <c r="B22" s="19" t="s">
        <v>326</v>
      </c>
      <c r="C22" s="19"/>
      <c r="D22" s="53" t="s">
        <v>47</v>
      </c>
      <c r="E22" s="24" t="s">
        <v>325</v>
      </c>
      <c r="F22" s="28">
        <f>IFERROR(VLOOKUP(E22,'[9]SAP Input-BS'!$A$5:$F$502,5,0),0)</f>
        <v>0</v>
      </c>
      <c r="G22" s="28">
        <f>IFERROR(VLOOKUP(E22,'[10]SAP Input-BS'!$A$5:$F$500,5,0),0)</f>
        <v>0</v>
      </c>
      <c r="H22" s="73">
        <f t="shared" si="0"/>
        <v>0</v>
      </c>
      <c r="I22" s="83"/>
      <c r="K22" s="28">
        <f>IFERROR(VLOOKUP(E22,'[11]SAP Input-BS'!$A$5:$E$500,5,0),0)</f>
        <v>0</v>
      </c>
      <c r="L22" s="28">
        <v>0</v>
      </c>
    </row>
    <row r="23" spans="1:12">
      <c r="A23" s="1" t="s">
        <v>286</v>
      </c>
      <c r="B23" s="1" t="s">
        <v>49</v>
      </c>
      <c r="C23" s="1" t="s">
        <v>49</v>
      </c>
      <c r="D23" s="3" t="s">
        <v>50</v>
      </c>
      <c r="E23" s="6" t="s">
        <v>329</v>
      </c>
      <c r="F23" s="27">
        <f>IFERROR(VLOOKUP(E23,'[9]SAP Input-BS'!$A$5:$F$502,5,0),0)</f>
        <v>0</v>
      </c>
      <c r="G23" s="27">
        <f>IFERROR(VLOOKUP(E23,'[10]SAP Input-BS'!$A$5:$F$500,5,0),0)</f>
        <v>0</v>
      </c>
      <c r="H23" s="73">
        <f t="shared" si="0"/>
        <v>0</v>
      </c>
      <c r="I23" s="77"/>
      <c r="K23" s="27">
        <f>IFERROR(VLOOKUP(E23,'[11]SAP Input-BS'!$A$5:$E$500,5,0),0)</f>
        <v>0</v>
      </c>
      <c r="L23" s="27">
        <v>0</v>
      </c>
    </row>
    <row r="24" spans="1:12">
      <c r="A24" s="1" t="s">
        <v>286</v>
      </c>
      <c r="B24" s="1" t="s">
        <v>49</v>
      </c>
      <c r="C24" s="1" t="s">
        <v>49</v>
      </c>
      <c r="D24" s="3" t="s">
        <v>52</v>
      </c>
      <c r="E24" s="6" t="s">
        <v>330</v>
      </c>
      <c r="F24" s="27">
        <f>IFERROR(VLOOKUP(E24,'[9]SAP Input-BS'!$A$5:$F$502,5,0),0)</f>
        <v>0</v>
      </c>
      <c r="G24" s="27">
        <f>IFERROR(VLOOKUP(E24,'[10]SAP Input-BS'!$A$5:$F$500,5,0),0)</f>
        <v>0</v>
      </c>
      <c r="H24" s="73">
        <f t="shared" si="0"/>
        <v>0</v>
      </c>
      <c r="I24" s="77"/>
      <c r="K24" s="27">
        <f>IFERROR(VLOOKUP(E24,'[11]SAP Input-BS'!$A$5:$E$500,5,0),0)</f>
        <v>0</v>
      </c>
      <c r="L24" s="27">
        <v>0</v>
      </c>
    </row>
    <row r="25" spans="1:12">
      <c r="A25" s="1" t="s">
        <v>286</v>
      </c>
      <c r="B25" s="1" t="s">
        <v>49</v>
      </c>
      <c r="C25" s="1" t="s">
        <v>49</v>
      </c>
      <c r="D25" s="3" t="s">
        <v>327</v>
      </c>
      <c r="E25" s="6" t="s">
        <v>331</v>
      </c>
      <c r="F25" s="27">
        <f>IFERROR(VLOOKUP(E25,'[9]SAP Input-BS'!$A$5:$F$502,5,0),0)</f>
        <v>0</v>
      </c>
      <c r="G25" s="27">
        <f>IFERROR(VLOOKUP(E25,'[10]SAP Input-BS'!$A$5:$F$500,5,0),0)</f>
        <v>0</v>
      </c>
      <c r="H25" s="73">
        <f t="shared" si="0"/>
        <v>0</v>
      </c>
      <c r="I25" s="77"/>
      <c r="K25" s="27">
        <f>IFERROR(VLOOKUP(E25,'[11]SAP Input-BS'!$A$5:$E$500,5,0),0)</f>
        <v>0</v>
      </c>
      <c r="L25" s="27">
        <v>0</v>
      </c>
    </row>
    <row r="26" spans="1:12">
      <c r="A26" s="1" t="s">
        <v>286</v>
      </c>
      <c r="B26" s="1" t="s">
        <v>49</v>
      </c>
      <c r="C26" s="1" t="s">
        <v>49</v>
      </c>
      <c r="D26" s="3" t="s">
        <v>328</v>
      </c>
      <c r="E26" s="6" t="s">
        <v>332</v>
      </c>
      <c r="F26" s="27">
        <f>IFERROR(VLOOKUP(E26,'[9]SAP Input-BS'!$A$5:$F$502,5,0),0)</f>
        <v>0</v>
      </c>
      <c r="G26" s="27">
        <f>IFERROR(VLOOKUP(E26,'[10]SAP Input-BS'!$A$5:$F$500,5,0),0)</f>
        <v>0</v>
      </c>
      <c r="H26" s="73">
        <f t="shared" si="0"/>
        <v>0</v>
      </c>
      <c r="I26" s="77"/>
      <c r="K26" s="27">
        <f>IFERROR(VLOOKUP(E26,'[11]SAP Input-BS'!$A$5:$E$500,5,0),0)</f>
        <v>0</v>
      </c>
      <c r="L26" s="27">
        <v>0</v>
      </c>
    </row>
    <row r="27" spans="1:12">
      <c r="A27" s="19" t="s">
        <v>286</v>
      </c>
      <c r="B27" s="19" t="s">
        <v>49</v>
      </c>
      <c r="C27" s="19" t="s">
        <v>49</v>
      </c>
      <c r="D27" s="53" t="s">
        <v>58</v>
      </c>
      <c r="E27" s="24" t="s">
        <v>333</v>
      </c>
      <c r="F27" s="28">
        <f>IFERROR(VLOOKUP(E27,'[9]SAP Input-BS'!$A$5:$F$502,5,0),0)</f>
        <v>0</v>
      </c>
      <c r="G27" s="28">
        <f>IFERROR(VLOOKUP(E27,'[10]SAP Input-BS'!$A$5:$F$500,5,0),0)</f>
        <v>0</v>
      </c>
      <c r="H27" s="73">
        <f t="shared" si="0"/>
        <v>0</v>
      </c>
      <c r="I27" s="83"/>
      <c r="K27" s="28">
        <f>IFERROR(VLOOKUP(E27,'[11]SAP Input-BS'!$A$5:$E$500,5,0),0)</f>
        <v>0</v>
      </c>
      <c r="L27" s="28">
        <v>0</v>
      </c>
    </row>
    <row r="28" spans="1:12">
      <c r="A28" s="1" t="s">
        <v>286</v>
      </c>
      <c r="B28" s="1" t="s">
        <v>351</v>
      </c>
      <c r="C28" s="1" t="s">
        <v>649</v>
      </c>
      <c r="D28" s="3" t="s">
        <v>62</v>
      </c>
      <c r="E28" s="6" t="s">
        <v>352</v>
      </c>
      <c r="F28" s="63">
        <f>IFERROR(VLOOKUP(E28,'[9]SAP Input-BS'!$A$5:$F$502,5,0),0)</f>
        <v>-463081474.13</v>
      </c>
      <c r="G28" s="63">
        <f>IFERROR(VLOOKUP(E28,'[10]SAP Input-BS'!$A$5:$F$500,5,0),0)</f>
        <v>-1425368884</v>
      </c>
      <c r="H28" s="75">
        <f t="shared" si="0"/>
        <v>962287409.87</v>
      </c>
      <c r="I28" s="77"/>
      <c r="J28" s="62">
        <f>(F28-G28)/87</f>
        <v>11060774.826091954</v>
      </c>
      <c r="K28" s="27">
        <f>IFERROR(VLOOKUP(E28,'[11]SAP Input-BS'!$A$5:$E$500,5,0),0)</f>
        <v>-739162835.78999996</v>
      </c>
      <c r="L28" s="27">
        <v>-566106006.01999998</v>
      </c>
    </row>
    <row r="29" spans="1:12">
      <c r="A29" s="1" t="s">
        <v>286</v>
      </c>
      <c r="B29" s="1" t="s">
        <v>351</v>
      </c>
      <c r="D29" s="3" t="s">
        <v>334</v>
      </c>
      <c r="E29" s="6" t="s">
        <v>353</v>
      </c>
      <c r="F29" s="27">
        <f>IFERROR(VLOOKUP(E29,'[9]SAP Input-BS'!$A$5:$F$502,5,0),0)</f>
        <v>0</v>
      </c>
      <c r="G29" s="27">
        <f>IFERROR(VLOOKUP(E29,'[10]SAP Input-BS'!$A$5:$F$500,5,0),0)</f>
        <v>0</v>
      </c>
      <c r="H29" s="73">
        <f t="shared" si="0"/>
        <v>0</v>
      </c>
      <c r="I29" s="77"/>
      <c r="J29" s="64"/>
      <c r="K29" s="27">
        <f>IFERROR(VLOOKUP(E29,'[11]SAP Input-BS'!$A$5:$E$500,5,0),0)</f>
        <v>0</v>
      </c>
      <c r="L29" s="27">
        <v>0</v>
      </c>
    </row>
    <row r="30" spans="1:12">
      <c r="A30" s="1" t="s">
        <v>286</v>
      </c>
      <c r="B30" s="1" t="s">
        <v>351</v>
      </c>
      <c r="D30" s="3" t="s">
        <v>335</v>
      </c>
      <c r="E30" s="6" t="s">
        <v>354</v>
      </c>
      <c r="F30" s="27">
        <f>IFERROR(VLOOKUP(E30,'[9]SAP Input-BS'!$A$5:$F$502,5,0),0)</f>
        <v>0</v>
      </c>
      <c r="G30" s="27">
        <f>IFERROR(VLOOKUP(E30,'[10]SAP Input-BS'!$A$5:$F$500,5,0),0)</f>
        <v>0</v>
      </c>
      <c r="H30" s="73">
        <f t="shared" si="0"/>
        <v>0</v>
      </c>
      <c r="I30" s="77"/>
      <c r="K30" s="27">
        <f>IFERROR(VLOOKUP(E30,'[11]SAP Input-BS'!$A$5:$E$500,5,0),0)</f>
        <v>0</v>
      </c>
      <c r="L30" s="27">
        <v>0</v>
      </c>
    </row>
    <row r="31" spans="1:12">
      <c r="A31" s="1" t="s">
        <v>286</v>
      </c>
      <c r="B31" s="1" t="s">
        <v>351</v>
      </c>
      <c r="D31" s="3" t="s">
        <v>336</v>
      </c>
      <c r="E31" s="6" t="s">
        <v>355</v>
      </c>
      <c r="F31" s="27">
        <f>IFERROR(VLOOKUP(E31,'[9]SAP Input-BS'!$A$5:$F$502,5,0),0)</f>
        <v>0</v>
      </c>
      <c r="G31" s="27">
        <f>IFERROR(VLOOKUP(E31,'[10]SAP Input-BS'!$A$5:$F$500,5,0),0)</f>
        <v>0</v>
      </c>
      <c r="H31" s="73">
        <f t="shared" si="0"/>
        <v>0</v>
      </c>
      <c r="I31" s="77"/>
      <c r="K31" s="27">
        <f>IFERROR(VLOOKUP(E31,'[11]SAP Input-BS'!$A$5:$E$500,5,0),0)</f>
        <v>0</v>
      </c>
      <c r="L31" s="27">
        <v>0</v>
      </c>
    </row>
    <row r="32" spans="1:12">
      <c r="A32" s="1" t="s">
        <v>286</v>
      </c>
      <c r="B32" s="1" t="s">
        <v>351</v>
      </c>
      <c r="C32" s="1" t="s">
        <v>650</v>
      </c>
      <c r="D32" s="3" t="s">
        <v>337</v>
      </c>
      <c r="E32" s="6" t="s">
        <v>356</v>
      </c>
      <c r="F32" s="63">
        <f>IFERROR(VLOOKUP(E32,'[9]SAP Input-BS'!$A$5:$F$502,5,0),0)</f>
        <v>-874103426.36000001</v>
      </c>
      <c r="G32" s="63">
        <f>IFERROR(VLOOKUP(E32,'[10]SAP Input-BS'!$A$5:$F$500,5,0),0)</f>
        <v>-419230778.69</v>
      </c>
      <c r="H32" s="75">
        <f t="shared" si="0"/>
        <v>-454872647.67000002</v>
      </c>
      <c r="I32" s="77"/>
      <c r="K32" s="27">
        <f>IFERROR(VLOOKUP(E32,'[11]SAP Input-BS'!$A$5:$E$500,5,0),0)</f>
        <v>-148976826.72999999</v>
      </c>
      <c r="L32" s="27">
        <v>-1206441268.1800001</v>
      </c>
    </row>
    <row r="33" spans="1:12">
      <c r="A33" s="1" t="s">
        <v>286</v>
      </c>
      <c r="B33" s="1" t="s">
        <v>351</v>
      </c>
      <c r="D33" s="3" t="s">
        <v>338</v>
      </c>
      <c r="E33" s="6" t="s">
        <v>357</v>
      </c>
      <c r="F33" s="27">
        <f>IFERROR(VLOOKUP(E33,'[9]SAP Input-BS'!$A$5:$F$502,5,0),0)</f>
        <v>0</v>
      </c>
      <c r="G33" s="27">
        <f>IFERROR(VLOOKUP(E33,'[10]SAP Input-BS'!$A$5:$F$500,5,0),0)</f>
        <v>0</v>
      </c>
      <c r="H33" s="73">
        <f t="shared" si="0"/>
        <v>0</v>
      </c>
      <c r="I33" s="77"/>
      <c r="K33" s="27">
        <f>IFERROR(VLOOKUP(E33,'[11]SAP Input-BS'!$A$5:$E$500,5,0),0)</f>
        <v>0</v>
      </c>
      <c r="L33" s="27">
        <v>0</v>
      </c>
    </row>
    <row r="34" spans="1:12">
      <c r="A34" s="1" t="s">
        <v>286</v>
      </c>
      <c r="B34" s="1" t="s">
        <v>351</v>
      </c>
      <c r="C34" s="1" t="s">
        <v>612</v>
      </c>
      <c r="D34" s="3" t="s">
        <v>339</v>
      </c>
      <c r="E34" s="6" t="s">
        <v>358</v>
      </c>
      <c r="F34" s="27">
        <f>IFERROR(VLOOKUP(E34,'[9]SAP Input-BS'!$A$5:$F$502,5,0),0)</f>
        <v>-13800179</v>
      </c>
      <c r="G34" s="27">
        <f>IFERROR(VLOOKUP(E34,'[10]SAP Input-BS'!$A$5:$F$500,5,0),0)</f>
        <v>-29669370</v>
      </c>
      <c r="H34" s="73">
        <f t="shared" si="0"/>
        <v>15869191</v>
      </c>
      <c r="I34" s="77"/>
      <c r="K34" s="27">
        <f>IFERROR(VLOOKUP(E34,'[11]SAP Input-BS'!$A$5:$E$500,5,0),0)</f>
        <v>-37223401.259999998</v>
      </c>
      <c r="L34" s="27">
        <v>-8816775.7699999996</v>
      </c>
    </row>
    <row r="35" spans="1:12">
      <c r="A35" s="1" t="s">
        <v>286</v>
      </c>
      <c r="B35" s="1" t="s">
        <v>351</v>
      </c>
      <c r="D35" s="3" t="s">
        <v>340</v>
      </c>
      <c r="E35" s="6" t="s">
        <v>359</v>
      </c>
      <c r="F35" s="27">
        <f>IFERROR(VLOOKUP(E35,'[9]SAP Input-BS'!$A$5:$F$502,5,0),0)</f>
        <v>0</v>
      </c>
      <c r="G35" s="27">
        <f>IFERROR(VLOOKUP(E35,'[10]SAP Input-BS'!$A$5:$F$500,5,0),0)</f>
        <v>0</v>
      </c>
      <c r="H35" s="73">
        <f t="shared" si="0"/>
        <v>0</v>
      </c>
      <c r="I35" s="77"/>
      <c r="K35" s="27">
        <f>IFERROR(VLOOKUP(E35,'[11]SAP Input-BS'!$A$5:$E$500,5,0),0)</f>
        <v>0</v>
      </c>
      <c r="L35" s="27">
        <v>0</v>
      </c>
    </row>
    <row r="36" spans="1:12">
      <c r="A36" s="1" t="s">
        <v>286</v>
      </c>
      <c r="B36" s="1" t="s">
        <v>351</v>
      </c>
      <c r="D36" s="3" t="s">
        <v>341</v>
      </c>
      <c r="E36" s="6" t="s">
        <v>360</v>
      </c>
      <c r="F36" s="63">
        <f>IFERROR(VLOOKUP(E36,'[9]SAP Input-BS'!$A$5:$F$502,5,0),0)</f>
        <v>-17855874.530000001</v>
      </c>
      <c r="G36" s="63">
        <f>IFERROR(VLOOKUP(E36,'[10]SAP Input-BS'!$A$5:$F$500,5,0),0)</f>
        <v>0</v>
      </c>
      <c r="H36" s="75">
        <f t="shared" si="0"/>
        <v>-17855874.530000001</v>
      </c>
      <c r="I36" s="77"/>
      <c r="K36" s="27">
        <f>IFERROR(VLOOKUP(E36,'[11]SAP Input-BS'!$A$5:$E$500,5,0),0)</f>
        <v>0</v>
      </c>
      <c r="L36" s="27">
        <v>0</v>
      </c>
    </row>
    <row r="37" spans="1:12">
      <c r="A37" s="1" t="s">
        <v>286</v>
      </c>
      <c r="B37" s="1" t="s">
        <v>351</v>
      </c>
      <c r="D37" s="3" t="s">
        <v>342</v>
      </c>
      <c r="E37" s="6" t="s">
        <v>361</v>
      </c>
      <c r="F37" s="27">
        <f>IFERROR(VLOOKUP(E37,'[9]SAP Input-BS'!$A$5:$F$502,5,0),0)</f>
        <v>0</v>
      </c>
      <c r="G37" s="27">
        <f>IFERROR(VLOOKUP(E37,'[10]SAP Input-BS'!$A$5:$F$500,5,0),0)</f>
        <v>0</v>
      </c>
      <c r="H37" s="73">
        <f t="shared" si="0"/>
        <v>0</v>
      </c>
      <c r="I37" s="77"/>
      <c r="K37" s="27">
        <f>IFERROR(VLOOKUP(E37,'[11]SAP Input-BS'!$A$5:$E$500,5,0),0)</f>
        <v>0</v>
      </c>
      <c r="L37" s="27">
        <v>0</v>
      </c>
    </row>
    <row r="38" spans="1:12">
      <c r="A38" s="1" t="s">
        <v>286</v>
      </c>
      <c r="B38" s="1" t="s">
        <v>351</v>
      </c>
      <c r="D38" s="3" t="s">
        <v>343</v>
      </c>
      <c r="E38" s="6" t="s">
        <v>362</v>
      </c>
      <c r="F38" s="27">
        <f>IFERROR(VLOOKUP(E38,'[9]SAP Input-BS'!$A$5:$F$502,5,0),0)</f>
        <v>0</v>
      </c>
      <c r="G38" s="27">
        <f>IFERROR(VLOOKUP(E38,'[10]SAP Input-BS'!$A$5:$F$500,5,0),0)</f>
        <v>0</v>
      </c>
      <c r="H38" s="73">
        <f t="shared" si="0"/>
        <v>0</v>
      </c>
      <c r="I38" s="77"/>
      <c r="K38" s="27">
        <f>IFERROR(VLOOKUP(E38,'[11]SAP Input-BS'!$A$5:$E$500,5,0),0)</f>
        <v>0</v>
      </c>
      <c r="L38" s="27">
        <v>0</v>
      </c>
    </row>
    <row r="39" spans="1:12">
      <c r="A39" s="1" t="s">
        <v>286</v>
      </c>
      <c r="B39" s="1" t="s">
        <v>351</v>
      </c>
      <c r="D39" s="3" t="s">
        <v>344</v>
      </c>
      <c r="E39" s="6" t="s">
        <v>363</v>
      </c>
      <c r="F39" s="27">
        <f>IFERROR(VLOOKUP(E39,'[9]SAP Input-BS'!$A$5:$F$502,5,0),0)</f>
        <v>0</v>
      </c>
      <c r="G39" s="27">
        <f>IFERROR(VLOOKUP(E39,'[10]SAP Input-BS'!$A$5:$F$500,5,0),0)</f>
        <v>0</v>
      </c>
      <c r="H39" s="73">
        <f t="shared" si="0"/>
        <v>0</v>
      </c>
      <c r="I39" s="77"/>
      <c r="K39" s="27">
        <f>IFERROR(VLOOKUP(E39,'[11]SAP Input-BS'!$A$5:$E$500,5,0),0)</f>
        <v>0</v>
      </c>
      <c r="L39" s="27">
        <v>0</v>
      </c>
    </row>
    <row r="40" spans="1:12">
      <c r="A40" s="1" t="s">
        <v>286</v>
      </c>
      <c r="B40" s="1" t="s">
        <v>351</v>
      </c>
      <c r="D40" s="3" t="s">
        <v>345</v>
      </c>
      <c r="E40" s="6" t="s">
        <v>364</v>
      </c>
      <c r="F40" s="27">
        <f>IFERROR(VLOOKUP(E40,'[9]SAP Input-BS'!$A$5:$F$502,5,0),0)</f>
        <v>0</v>
      </c>
      <c r="G40" s="27">
        <f>IFERROR(VLOOKUP(E40,'[10]SAP Input-BS'!$A$5:$F$500,5,0),0)</f>
        <v>0</v>
      </c>
      <c r="H40" s="73">
        <f t="shared" si="0"/>
        <v>0</v>
      </c>
      <c r="I40" s="77"/>
      <c r="K40" s="27">
        <f>IFERROR(VLOOKUP(E40,'[11]SAP Input-BS'!$A$5:$E$500,5,0),0)</f>
        <v>0</v>
      </c>
      <c r="L40" s="27">
        <v>0</v>
      </c>
    </row>
    <row r="41" spans="1:12">
      <c r="A41" s="1" t="s">
        <v>286</v>
      </c>
      <c r="B41" s="1" t="s">
        <v>351</v>
      </c>
      <c r="D41" s="3" t="s">
        <v>346</v>
      </c>
      <c r="E41" s="6" t="s">
        <v>365</v>
      </c>
      <c r="F41" s="27">
        <f>IFERROR(VLOOKUP(E41,'[9]SAP Input-BS'!$A$5:$F$502,5,0),0)</f>
        <v>0</v>
      </c>
      <c r="G41" s="27">
        <f>IFERROR(VLOOKUP(E41,'[10]SAP Input-BS'!$A$5:$F$500,5,0),0)</f>
        <v>0</v>
      </c>
      <c r="H41" s="73">
        <f t="shared" si="0"/>
        <v>0</v>
      </c>
      <c r="I41" s="77"/>
      <c r="K41" s="27">
        <f>IFERROR(VLOOKUP(E41,'[11]SAP Input-BS'!$A$5:$E$500,5,0),0)</f>
        <v>0</v>
      </c>
      <c r="L41" s="27">
        <v>0</v>
      </c>
    </row>
    <row r="42" spans="1:12">
      <c r="A42" s="1" t="s">
        <v>286</v>
      </c>
      <c r="B42" s="1" t="s">
        <v>351</v>
      </c>
      <c r="D42" s="3" t="s">
        <v>347</v>
      </c>
      <c r="E42" s="6" t="s">
        <v>366</v>
      </c>
      <c r="F42" s="27">
        <f>IFERROR(VLOOKUP(E42,'[9]SAP Input-BS'!$A$5:$F$502,5,0),0)</f>
        <v>0</v>
      </c>
      <c r="G42" s="27">
        <f>IFERROR(VLOOKUP(E42,'[10]SAP Input-BS'!$A$5:$F$500,5,0),0)</f>
        <v>0</v>
      </c>
      <c r="H42" s="73">
        <f t="shared" si="0"/>
        <v>0</v>
      </c>
      <c r="I42" s="77"/>
      <c r="K42" s="27">
        <f>IFERROR(VLOOKUP(E42,'[11]SAP Input-BS'!$A$5:$E$500,5,0),0)</f>
        <v>0</v>
      </c>
      <c r="L42" s="27">
        <v>0</v>
      </c>
    </row>
    <row r="43" spans="1:12">
      <c r="A43" s="1" t="s">
        <v>286</v>
      </c>
      <c r="B43" s="1" t="s">
        <v>351</v>
      </c>
      <c r="D43" s="3" t="s">
        <v>348</v>
      </c>
      <c r="E43" s="6" t="s">
        <v>367</v>
      </c>
      <c r="F43" s="27">
        <f>IFERROR(VLOOKUP(E43,'[9]SAP Input-BS'!$A$5:$F$502,5,0),0)</f>
        <v>0</v>
      </c>
      <c r="G43" s="27">
        <f>IFERROR(VLOOKUP(E43,'[10]SAP Input-BS'!$A$5:$F$500,5,0),0)</f>
        <v>0</v>
      </c>
      <c r="H43" s="73">
        <f t="shared" si="0"/>
        <v>0</v>
      </c>
      <c r="I43" s="77"/>
      <c r="K43" s="27">
        <f>IFERROR(VLOOKUP(E43,'[11]SAP Input-BS'!$A$5:$E$500,5,0),0)</f>
        <v>0</v>
      </c>
      <c r="L43" s="27">
        <v>0</v>
      </c>
    </row>
    <row r="44" spans="1:12">
      <c r="A44" s="1" t="s">
        <v>286</v>
      </c>
      <c r="B44" s="1" t="s">
        <v>351</v>
      </c>
      <c r="D44" s="3" t="s">
        <v>349</v>
      </c>
      <c r="E44" s="6" t="s">
        <v>368</v>
      </c>
      <c r="F44" s="27">
        <f>IFERROR(VLOOKUP(E44,'[9]SAP Input-BS'!$A$5:$F$502,5,0),0)</f>
        <v>0</v>
      </c>
      <c r="G44" s="27">
        <f>IFERROR(VLOOKUP(E44,'[10]SAP Input-BS'!$A$5:$F$500,5,0),0)</f>
        <v>0</v>
      </c>
      <c r="H44" s="73">
        <f t="shared" si="0"/>
        <v>0</v>
      </c>
      <c r="I44" s="77"/>
      <c r="K44" s="27">
        <f>IFERROR(VLOOKUP(E44,'[11]SAP Input-BS'!$A$5:$E$500,5,0),0)</f>
        <v>0</v>
      </c>
      <c r="L44" s="27">
        <v>0</v>
      </c>
    </row>
    <row r="45" spans="1:12">
      <c r="A45" s="1" t="s">
        <v>286</v>
      </c>
      <c r="B45" s="1" t="s">
        <v>351</v>
      </c>
      <c r="C45" s="1" t="s">
        <v>648</v>
      </c>
      <c r="D45" s="11" t="s">
        <v>350</v>
      </c>
      <c r="E45" s="6" t="s">
        <v>369</v>
      </c>
      <c r="F45" s="63">
        <f>IFERROR(VLOOKUP(E45,'[9]SAP Input-BS'!$A$5:$F$502,5,0),0)</f>
        <v>-184642345.53</v>
      </c>
      <c r="G45" s="63">
        <f>IFERROR(VLOOKUP(E45,'[10]SAP Input-BS'!$A$5:$F$500,5,0),0)</f>
        <v>-1554792864.26</v>
      </c>
      <c r="H45" s="75">
        <f t="shared" si="0"/>
        <v>1370150518.73</v>
      </c>
      <c r="I45" s="77"/>
      <c r="J45" s="62">
        <f>(F45-G45)/87</f>
        <v>15748856.537126437</v>
      </c>
      <c r="K45" s="27">
        <f>IFERROR(VLOOKUP(E45,'[11]SAP Input-BS'!$A$5:$E$500,5,0),0)</f>
        <v>432462891.13999999</v>
      </c>
      <c r="L45" s="27">
        <v>102783208.72</v>
      </c>
    </row>
    <row r="46" spans="1:12">
      <c r="A46" s="19" t="s">
        <v>286</v>
      </c>
      <c r="B46" s="19" t="s">
        <v>351</v>
      </c>
      <c r="C46" s="19"/>
      <c r="D46" s="53" t="s">
        <v>314</v>
      </c>
      <c r="E46" s="21" t="s">
        <v>370</v>
      </c>
      <c r="F46" s="28">
        <f>IFERROR(VLOOKUP(E46,'[9]SAP Input-BS'!$A$5:$F$502,5,0),0)</f>
        <v>-1553483299.55</v>
      </c>
      <c r="G46" s="28">
        <f>IFERROR(VLOOKUP(E46,'[10]SAP Input-BS'!$A$5:$F$500,5,0),0)</f>
        <v>-3429061896.9499998</v>
      </c>
      <c r="H46" s="73">
        <f t="shared" si="0"/>
        <v>1875578597.3999999</v>
      </c>
      <c r="I46" s="83"/>
      <c r="J46" s="64"/>
      <c r="K46" s="28">
        <f>IFERROR(VLOOKUP(E46,'[11]SAP Input-BS'!$A$5:$E$500,5,0),0)</f>
        <v>-492900172.63999999</v>
      </c>
      <c r="L46" s="28">
        <v>-1678580841.25</v>
      </c>
    </row>
    <row r="47" spans="1:12">
      <c r="A47" s="1" t="s">
        <v>286</v>
      </c>
      <c r="B47" s="1" t="s">
        <v>389</v>
      </c>
      <c r="D47" s="3" t="s">
        <v>371</v>
      </c>
      <c r="E47" s="6" t="s">
        <v>380</v>
      </c>
      <c r="F47" s="27">
        <f>IFERROR(VLOOKUP(E47,'[9]SAP Input-BS'!$A$5:$F$502,5,0),0)</f>
        <v>-168357692.40000001</v>
      </c>
      <c r="G47" s="27">
        <f>IFERROR(VLOOKUP(E47,'[10]SAP Input-BS'!$A$5:$F$500,5,0),0)</f>
        <v>-189937901.33000001</v>
      </c>
      <c r="H47" s="73">
        <f t="shared" si="0"/>
        <v>21580208.930000007</v>
      </c>
      <c r="I47" s="77"/>
      <c r="J47" s="62"/>
      <c r="K47" s="27">
        <f>IFERROR(VLOOKUP(E47,'[11]SAP Input-BS'!$A$5:$E$500,5,0),0)</f>
        <v>-279536657</v>
      </c>
      <c r="L47" s="27">
        <v>-189093491.71000001</v>
      </c>
    </row>
    <row r="48" spans="1:12">
      <c r="A48" s="1" t="s">
        <v>286</v>
      </c>
      <c r="B48" s="1" t="s">
        <v>389</v>
      </c>
      <c r="D48" s="3" t="s">
        <v>372</v>
      </c>
      <c r="E48" s="6" t="s">
        <v>381</v>
      </c>
      <c r="F48" s="27">
        <f>IFERROR(VLOOKUP(E48,'[9]SAP Input-BS'!$A$5:$F$502,5,0),0)</f>
        <v>0</v>
      </c>
      <c r="G48" s="27">
        <f>IFERROR(VLOOKUP(E48,'[10]SAP Input-BS'!$A$5:$F$500,5,0),0)</f>
        <v>0</v>
      </c>
      <c r="H48" s="73">
        <f t="shared" si="0"/>
        <v>0</v>
      </c>
      <c r="I48" s="77"/>
      <c r="K48" s="27">
        <f>IFERROR(VLOOKUP(E48,'[11]SAP Input-BS'!$A$5:$E$500,5,0),0)</f>
        <v>0</v>
      </c>
      <c r="L48" s="27">
        <v>0</v>
      </c>
    </row>
    <row r="49" spans="1:12">
      <c r="A49" s="1" t="s">
        <v>286</v>
      </c>
      <c r="B49" s="1" t="s">
        <v>389</v>
      </c>
      <c r="D49" s="3" t="s">
        <v>373</v>
      </c>
      <c r="E49" s="6" t="s">
        <v>382</v>
      </c>
      <c r="F49" s="27">
        <f>IFERROR(VLOOKUP(E49,'[9]SAP Input-BS'!$A$5:$F$502,5,0),0)</f>
        <v>-31594786.59</v>
      </c>
      <c r="G49" s="27">
        <f>IFERROR(VLOOKUP(E49,'[10]SAP Input-BS'!$A$5:$F$500,5,0),0)</f>
        <v>-43316145.409999996</v>
      </c>
      <c r="H49" s="73">
        <f t="shared" si="0"/>
        <v>11721358.819999997</v>
      </c>
      <c r="I49" s="77"/>
      <c r="K49" s="27">
        <f>IFERROR(VLOOKUP(E49,'[11]SAP Input-BS'!$A$5:$E$500,5,0),0)</f>
        <v>-525357459.20999998</v>
      </c>
      <c r="L49" s="27">
        <v>-508161963.61000001</v>
      </c>
    </row>
    <row r="50" spans="1:12">
      <c r="A50" s="1" t="s">
        <v>286</v>
      </c>
      <c r="B50" s="1" t="s">
        <v>389</v>
      </c>
      <c r="D50" s="3" t="s">
        <v>374</v>
      </c>
      <c r="E50" s="6" t="s">
        <v>383</v>
      </c>
      <c r="F50" s="27">
        <f>IFERROR(VLOOKUP(E50,'[9]SAP Input-BS'!$A$5:$F$502,5,0),0)</f>
        <v>0</v>
      </c>
      <c r="G50" s="27">
        <f>IFERROR(VLOOKUP(E50,'[10]SAP Input-BS'!$A$5:$F$500,5,0),0)</f>
        <v>0</v>
      </c>
      <c r="H50" s="73">
        <f t="shared" si="0"/>
        <v>0</v>
      </c>
      <c r="I50" s="77"/>
      <c r="K50" s="27">
        <f>IFERROR(VLOOKUP(E50,'[11]SAP Input-BS'!$A$5:$E$500,5,0),0)</f>
        <v>0</v>
      </c>
      <c r="L50" s="27">
        <v>0</v>
      </c>
    </row>
    <row r="51" spans="1:12">
      <c r="A51" s="1" t="s">
        <v>286</v>
      </c>
      <c r="B51" s="1" t="s">
        <v>389</v>
      </c>
      <c r="D51" s="3" t="s">
        <v>375</v>
      </c>
      <c r="E51" s="6" t="s">
        <v>384</v>
      </c>
      <c r="F51" s="27">
        <f>IFERROR(VLOOKUP(E51,'[9]SAP Input-BS'!$A$5:$F$502,5,0),0)</f>
        <v>-1886953.88</v>
      </c>
      <c r="G51" s="27">
        <f>IFERROR(VLOOKUP(E51,'[10]SAP Input-BS'!$A$5:$F$500,5,0),0)</f>
        <v>-42398464.530000001</v>
      </c>
      <c r="H51" s="73">
        <f t="shared" si="0"/>
        <v>40511510.649999999</v>
      </c>
      <c r="I51" s="77"/>
      <c r="K51" s="27">
        <f>IFERROR(VLOOKUP(E51,'[11]SAP Input-BS'!$A$5:$E$500,5,0),0)</f>
        <v>-1886953.88</v>
      </c>
      <c r="L51" s="27">
        <v>-46465753.880000003</v>
      </c>
    </row>
    <row r="52" spans="1:12">
      <c r="A52" s="1" t="s">
        <v>286</v>
      </c>
      <c r="B52" s="1" t="s">
        <v>389</v>
      </c>
      <c r="D52" s="3" t="s">
        <v>376</v>
      </c>
      <c r="E52" s="6" t="s">
        <v>385</v>
      </c>
      <c r="F52" s="27">
        <f>IFERROR(VLOOKUP(E52,'[9]SAP Input-BS'!$A$5:$F$502,5,0),0)</f>
        <v>0</v>
      </c>
      <c r="G52" s="27">
        <f>IFERROR(VLOOKUP(E52,'[10]SAP Input-BS'!$A$5:$F$500,5,0),0)</f>
        <v>0</v>
      </c>
      <c r="H52" s="73">
        <f t="shared" si="0"/>
        <v>0</v>
      </c>
      <c r="I52" s="77"/>
      <c r="K52" s="27">
        <f>IFERROR(VLOOKUP(E52,'[11]SAP Input-BS'!$A$5:$E$500,5,0),0)</f>
        <v>0</v>
      </c>
      <c r="L52" s="27">
        <v>0</v>
      </c>
    </row>
    <row r="53" spans="1:12">
      <c r="A53" s="1" t="s">
        <v>286</v>
      </c>
      <c r="B53" s="1" t="s">
        <v>389</v>
      </c>
      <c r="D53" s="3" t="s">
        <v>377</v>
      </c>
      <c r="E53" s="6" t="s">
        <v>386</v>
      </c>
      <c r="F53" s="27">
        <f>IFERROR(VLOOKUP(E53,'[9]SAP Input-BS'!$A$5:$F$502,5,0),0)</f>
        <v>0</v>
      </c>
      <c r="G53" s="27">
        <f>IFERROR(VLOOKUP(E53,'[10]SAP Input-BS'!$A$5:$F$500,5,0),0)</f>
        <v>0</v>
      </c>
      <c r="H53" s="73">
        <f t="shared" si="0"/>
        <v>0</v>
      </c>
      <c r="I53" s="77"/>
      <c r="K53" s="27">
        <f>IFERROR(VLOOKUP(E53,'[11]SAP Input-BS'!$A$5:$E$500,5,0),0)</f>
        <v>0</v>
      </c>
      <c r="L53" s="27">
        <v>0</v>
      </c>
    </row>
    <row r="54" spans="1:12">
      <c r="A54" s="1" t="s">
        <v>286</v>
      </c>
      <c r="B54" s="1" t="s">
        <v>389</v>
      </c>
      <c r="D54" s="3" t="s">
        <v>378</v>
      </c>
      <c r="E54" s="6" t="s">
        <v>387</v>
      </c>
      <c r="F54" s="27">
        <f>IFERROR(VLOOKUP(E54,'[9]SAP Input-BS'!$A$5:$F$502,5,0),0)</f>
        <v>0</v>
      </c>
      <c r="G54" s="27">
        <f>IFERROR(VLOOKUP(E54,'[10]SAP Input-BS'!$A$5:$F$500,5,0),0)</f>
        <v>0</v>
      </c>
      <c r="H54" s="73">
        <f t="shared" si="0"/>
        <v>0</v>
      </c>
      <c r="I54" s="77"/>
      <c r="K54" s="27">
        <f>IFERROR(VLOOKUP(E54,'[11]SAP Input-BS'!$A$5:$E$500,5,0),0)</f>
        <v>0</v>
      </c>
      <c r="L54" s="27">
        <v>0</v>
      </c>
    </row>
    <row r="55" spans="1:12">
      <c r="A55" s="19" t="s">
        <v>286</v>
      </c>
      <c r="B55" s="19" t="s">
        <v>389</v>
      </c>
      <c r="C55" s="19"/>
      <c r="D55" s="53" t="s">
        <v>379</v>
      </c>
      <c r="E55" s="21" t="s">
        <v>388</v>
      </c>
      <c r="F55" s="81">
        <f>IFERROR(VLOOKUP(E55,'[9]SAP Input-BS'!$A$5:$F$502,5,0),0)</f>
        <v>-201839432.87</v>
      </c>
      <c r="G55" s="28">
        <f>IFERROR(VLOOKUP(E55,'[10]SAP Input-BS'!$A$5:$F$500,5,0),0)</f>
        <v>-275652511.26999998</v>
      </c>
      <c r="H55" s="73">
        <f t="shared" si="0"/>
        <v>73813078.399999976</v>
      </c>
      <c r="I55" s="83"/>
      <c r="K55" s="28">
        <f>IFERROR(VLOOKUP(E55,'[11]SAP Input-BS'!$A$5:$E$500,5,0),0)</f>
        <v>-806781070.09000003</v>
      </c>
      <c r="L55" s="28">
        <v>-743721209.20000005</v>
      </c>
    </row>
    <row r="56" spans="1:12">
      <c r="A56" s="1" t="s">
        <v>286</v>
      </c>
      <c r="B56" s="1" t="s">
        <v>392</v>
      </c>
      <c r="D56" s="3" t="s">
        <v>390</v>
      </c>
      <c r="E56" s="6" t="s">
        <v>393</v>
      </c>
      <c r="F56" s="27">
        <f>IFERROR(VLOOKUP(E56,'[9]SAP Input-BS'!$A$5:$F$502,5,0),0)</f>
        <v>0</v>
      </c>
      <c r="G56" s="27">
        <f>IFERROR(VLOOKUP(E56,'[10]SAP Input-BS'!$A$5:$F$500,5,0),0)</f>
        <v>0.39</v>
      </c>
      <c r="H56" s="73">
        <f t="shared" si="0"/>
        <v>-0.39</v>
      </c>
      <c r="I56" s="77"/>
      <c r="K56" s="27">
        <f>IFERROR(VLOOKUP(E56,'[11]SAP Input-BS'!$A$5:$E$500,5,0),0)</f>
        <v>0.39</v>
      </c>
      <c r="L56" s="27">
        <v>0.39</v>
      </c>
    </row>
    <row r="57" spans="1:12">
      <c r="A57" s="19" t="s">
        <v>286</v>
      </c>
      <c r="B57" s="19" t="s">
        <v>392</v>
      </c>
      <c r="C57" s="19"/>
      <c r="D57" s="53" t="s">
        <v>391</v>
      </c>
      <c r="E57" s="21" t="s">
        <v>394</v>
      </c>
      <c r="F57" s="28">
        <f>IFERROR(VLOOKUP(E57,'[9]SAP Input-BS'!$A$5:$F$502,5,0),0)</f>
        <v>0</v>
      </c>
      <c r="G57" s="28">
        <f>IFERROR(VLOOKUP(E57,'[10]SAP Input-BS'!$A$5:$F$500,5,0),0)</f>
        <v>0.39</v>
      </c>
      <c r="H57" s="73">
        <f t="shared" si="0"/>
        <v>-0.39</v>
      </c>
      <c r="I57" s="83"/>
      <c r="K57" s="28">
        <f>IFERROR(VLOOKUP(E57,'[11]SAP Input-BS'!$A$5:$E$500,5,0),0)</f>
        <v>0.39</v>
      </c>
      <c r="L57" s="28">
        <v>0.39</v>
      </c>
    </row>
    <row r="58" spans="1:12">
      <c r="A58" s="1" t="s">
        <v>286</v>
      </c>
      <c r="B58" s="2" t="s">
        <v>395</v>
      </c>
      <c r="D58" s="3" t="s">
        <v>396</v>
      </c>
      <c r="E58" s="6" t="s">
        <v>401</v>
      </c>
      <c r="F58" s="27">
        <f>IFERROR(VLOOKUP(E58,'[9]SAP Input-BS'!$A$5:$F$502,5,0),0)</f>
        <v>0</v>
      </c>
      <c r="G58" s="27">
        <f>IFERROR(VLOOKUP(E58,'[10]SAP Input-BS'!$A$5:$F$500,5,0),0)</f>
        <v>0</v>
      </c>
      <c r="H58" s="73">
        <f t="shared" si="0"/>
        <v>0</v>
      </c>
      <c r="I58" s="77"/>
      <c r="K58" s="27">
        <f>IFERROR(VLOOKUP(E58,'[11]SAP Input-BS'!$A$5:$E$500,5,0),0)</f>
        <v>0</v>
      </c>
      <c r="L58" s="27">
        <v>0</v>
      </c>
    </row>
    <row r="59" spans="1:12">
      <c r="A59" s="1" t="s">
        <v>286</v>
      </c>
      <c r="B59" s="2" t="s">
        <v>395</v>
      </c>
      <c r="D59" s="3" t="s">
        <v>397</v>
      </c>
      <c r="E59" s="6" t="s">
        <v>402</v>
      </c>
      <c r="F59" s="71">
        <f>IFERROR(VLOOKUP(E59,'[9]SAP Input-BS'!$A$5:$F$502,5,0),0)</f>
        <v>-5047818730</v>
      </c>
      <c r="G59" s="27">
        <f>IFERROR(VLOOKUP(E59,'[10]SAP Input-BS'!$A$5:$F$500,5,0),0)</f>
        <v>-5675268107</v>
      </c>
      <c r="H59" s="73">
        <f t="shared" si="0"/>
        <v>627449377</v>
      </c>
      <c r="I59" s="77"/>
      <c r="K59" s="27">
        <f>IFERROR(VLOOKUP(E59,'[11]SAP Input-BS'!$A$5:$E$500,5,0),0)</f>
        <v>-9000824465</v>
      </c>
      <c r="L59" s="27">
        <v>-8903868088</v>
      </c>
    </row>
    <row r="60" spans="1:12">
      <c r="A60" s="1" t="s">
        <v>286</v>
      </c>
      <c r="B60" s="2" t="s">
        <v>395</v>
      </c>
      <c r="D60" s="3" t="s">
        <v>398</v>
      </c>
      <c r="E60" s="6" t="s">
        <v>403</v>
      </c>
      <c r="F60" s="27">
        <f>IFERROR(VLOOKUP(E60,'[9]SAP Input-BS'!$A$5:$F$502,5,0),0)</f>
        <v>0</v>
      </c>
      <c r="G60" s="27">
        <f>IFERROR(VLOOKUP(E60,'[10]SAP Input-BS'!$A$5:$F$500,5,0),0)</f>
        <v>0</v>
      </c>
      <c r="H60" s="73">
        <f t="shared" si="0"/>
        <v>0</v>
      </c>
      <c r="I60" s="77"/>
      <c r="K60" s="27">
        <f>IFERROR(VLOOKUP(E60,'[11]SAP Input-BS'!$A$5:$E$500,5,0),0)</f>
        <v>0</v>
      </c>
      <c r="L60" s="27">
        <v>0</v>
      </c>
    </row>
    <row r="61" spans="1:12">
      <c r="A61" s="1" t="s">
        <v>286</v>
      </c>
      <c r="B61" s="2" t="s">
        <v>395</v>
      </c>
      <c r="D61" s="3" t="s">
        <v>399</v>
      </c>
      <c r="E61" s="6" t="s">
        <v>404</v>
      </c>
      <c r="F61" s="27">
        <f>IFERROR(VLOOKUP(E61,'[9]SAP Input-BS'!$A$5:$F$502,5,0),0)</f>
        <v>-141370516</v>
      </c>
      <c r="G61" s="27">
        <f>IFERROR(VLOOKUP(E61,'[10]SAP Input-BS'!$A$5:$F$500,5,0),0)</f>
        <v>0</v>
      </c>
      <c r="H61" s="73">
        <f t="shared" si="0"/>
        <v>-141370516</v>
      </c>
      <c r="I61" s="77"/>
      <c r="K61" s="27">
        <f>IFERROR(VLOOKUP(E61,'[11]SAP Input-BS'!$A$5:$E$500,5,0),0)</f>
        <v>-298644241</v>
      </c>
      <c r="L61" s="27">
        <v>-342519492</v>
      </c>
    </row>
    <row r="62" spans="1:12" s="1" customFormat="1">
      <c r="A62" s="19" t="s">
        <v>286</v>
      </c>
      <c r="B62" s="20" t="s">
        <v>395</v>
      </c>
      <c r="C62" s="19"/>
      <c r="D62" s="53" t="s">
        <v>400</v>
      </c>
      <c r="E62" s="24" t="s">
        <v>405</v>
      </c>
      <c r="F62" s="28">
        <f>IFERROR(VLOOKUP(E62,'[9]SAP Input-BS'!$A$5:$F$502,5,0),0)</f>
        <v>-5189189246</v>
      </c>
      <c r="G62" s="28">
        <f>IFERROR(VLOOKUP(E62,'[10]SAP Input-BS'!$A$5:$F$500,5,0),0)</f>
        <v>-5675268107</v>
      </c>
      <c r="H62" s="73">
        <f t="shared" si="0"/>
        <v>486078861</v>
      </c>
      <c r="I62" s="83"/>
      <c r="K62" s="28">
        <f>IFERROR(VLOOKUP(E62,'[11]SAP Input-BS'!$A$5:$E$500,5,0),0)</f>
        <v>-9299468706</v>
      </c>
      <c r="L62" s="28">
        <v>-9246387580</v>
      </c>
    </row>
    <row r="63" spans="1:12">
      <c r="A63" s="1" t="s">
        <v>286</v>
      </c>
      <c r="B63" s="2" t="s">
        <v>395</v>
      </c>
      <c r="D63" s="3" t="s">
        <v>406</v>
      </c>
      <c r="E63" s="6" t="s">
        <v>413</v>
      </c>
      <c r="F63" s="27">
        <f>IFERROR(VLOOKUP(E63,'[9]SAP Input-BS'!$A$5:$F$502,5,0),0)</f>
        <v>0</v>
      </c>
      <c r="G63" s="27">
        <f>IFERROR(VLOOKUP(E63,'[10]SAP Input-BS'!$A$5:$F$500,5,0),0)</f>
        <v>0</v>
      </c>
      <c r="H63" s="73">
        <f t="shared" si="0"/>
        <v>0</v>
      </c>
      <c r="I63" s="77"/>
      <c r="K63" s="27">
        <f>IFERROR(VLOOKUP(E63,'[11]SAP Input-BS'!$A$5:$E$500,5,0),0)</f>
        <v>0</v>
      </c>
      <c r="L63" s="27">
        <v>0</v>
      </c>
    </row>
    <row r="64" spans="1:12">
      <c r="A64" s="1" t="s">
        <v>286</v>
      </c>
      <c r="B64" s="2" t="s">
        <v>395</v>
      </c>
      <c r="D64" s="3" t="s">
        <v>407</v>
      </c>
      <c r="E64" s="6" t="s">
        <v>414</v>
      </c>
      <c r="F64" s="27">
        <f>IFERROR(VLOOKUP(E64,'[9]SAP Input-BS'!$A$5:$F$502,5,0),0)</f>
        <v>0</v>
      </c>
      <c r="G64" s="27">
        <f>IFERROR(VLOOKUP(E64,'[10]SAP Input-BS'!$A$5:$F$500,5,0),0)</f>
        <v>0</v>
      </c>
      <c r="H64" s="73">
        <f t="shared" si="0"/>
        <v>0</v>
      </c>
      <c r="I64" s="77"/>
      <c r="K64" s="27">
        <f>IFERROR(VLOOKUP(E64,'[11]SAP Input-BS'!$A$5:$E$500,5,0),0)</f>
        <v>0</v>
      </c>
      <c r="L64" s="27">
        <v>0</v>
      </c>
    </row>
    <row r="65" spans="1:12">
      <c r="A65" s="1" t="s">
        <v>286</v>
      </c>
      <c r="B65" s="2" t="s">
        <v>395</v>
      </c>
      <c r="D65" s="3" t="s">
        <v>408</v>
      </c>
      <c r="E65" s="6" t="s">
        <v>415</v>
      </c>
      <c r="F65" s="27">
        <f>IFERROR(VLOOKUP(E65,'[9]SAP Input-BS'!$A$5:$F$502,5,0),0)</f>
        <v>0</v>
      </c>
      <c r="G65" s="27">
        <f>IFERROR(VLOOKUP(E65,'[10]SAP Input-BS'!$A$5:$F$500,5,0),0)</f>
        <v>0</v>
      </c>
      <c r="H65" s="73">
        <f t="shared" si="0"/>
        <v>0</v>
      </c>
      <c r="I65" s="77"/>
      <c r="K65" s="27">
        <f>IFERROR(VLOOKUP(E65,'[11]SAP Input-BS'!$A$5:$E$500,5,0),0)</f>
        <v>0</v>
      </c>
      <c r="L65" s="27">
        <v>0</v>
      </c>
    </row>
    <row r="66" spans="1:12">
      <c r="A66" s="1" t="s">
        <v>286</v>
      </c>
      <c r="B66" s="2" t="s">
        <v>395</v>
      </c>
      <c r="D66" s="3" t="s">
        <v>409</v>
      </c>
      <c r="E66" s="6" t="s">
        <v>416</v>
      </c>
      <c r="F66" s="27">
        <f>IFERROR(VLOOKUP(E66,'[9]SAP Input-BS'!$A$5:$F$502,5,0),0)</f>
        <v>0</v>
      </c>
      <c r="G66" s="27">
        <f>IFERROR(VLOOKUP(E66,'[10]SAP Input-BS'!$A$5:$F$500,5,0),0)</f>
        <v>0</v>
      </c>
      <c r="H66" s="73">
        <f t="shared" si="0"/>
        <v>0</v>
      </c>
      <c r="I66" s="77"/>
      <c r="K66" s="27">
        <f>IFERROR(VLOOKUP(E66,'[11]SAP Input-BS'!$A$5:$E$500,5,0),0)</f>
        <v>0</v>
      </c>
      <c r="L66" s="27">
        <v>0</v>
      </c>
    </row>
    <row r="67" spans="1:12">
      <c r="A67" s="1" t="s">
        <v>286</v>
      </c>
      <c r="B67" s="2" t="s">
        <v>395</v>
      </c>
      <c r="D67" s="3" t="s">
        <v>410</v>
      </c>
      <c r="E67" s="6" t="s">
        <v>417</v>
      </c>
      <c r="F67" s="27">
        <f>IFERROR(VLOOKUP(E67,'[9]SAP Input-BS'!$A$5:$F$502,5,0),0)</f>
        <v>0</v>
      </c>
      <c r="G67" s="27">
        <f>IFERROR(VLOOKUP(E67,'[10]SAP Input-BS'!$A$5:$F$500,5,0),0)</f>
        <v>0</v>
      </c>
      <c r="H67" s="73">
        <f t="shared" ref="H67:H130" si="1">F67-G67</f>
        <v>0</v>
      </c>
      <c r="I67" s="77"/>
      <c r="K67" s="27">
        <f>IFERROR(VLOOKUP(E67,'[11]SAP Input-BS'!$A$5:$E$500,5,0),0)</f>
        <v>0</v>
      </c>
      <c r="L67" s="27">
        <v>0</v>
      </c>
    </row>
    <row r="68" spans="1:12">
      <c r="A68" s="1" t="s">
        <v>286</v>
      </c>
      <c r="B68" s="2" t="s">
        <v>395</v>
      </c>
      <c r="D68" s="3" t="s">
        <v>411</v>
      </c>
      <c r="E68" s="6" t="s">
        <v>418</v>
      </c>
      <c r="F68" s="27">
        <f>IFERROR(VLOOKUP(E68,'[9]SAP Input-BS'!$A$5:$F$502,5,0),0)</f>
        <v>0</v>
      </c>
      <c r="G68" s="27">
        <f>IFERROR(VLOOKUP(E68,'[10]SAP Input-BS'!$A$5:$F$500,5,0),0)</f>
        <v>0</v>
      </c>
      <c r="H68" s="73">
        <f t="shared" si="1"/>
        <v>0</v>
      </c>
      <c r="I68" s="77"/>
      <c r="K68" s="27">
        <f>IFERROR(VLOOKUP(E68,'[11]SAP Input-BS'!$A$5:$E$500,5,0),0)</f>
        <v>0</v>
      </c>
      <c r="L68" s="27">
        <v>0</v>
      </c>
    </row>
    <row r="69" spans="1:12" s="1" customFormat="1">
      <c r="A69" s="19" t="s">
        <v>286</v>
      </c>
      <c r="B69" s="20" t="s">
        <v>395</v>
      </c>
      <c r="C69" s="19"/>
      <c r="D69" s="53" t="s">
        <v>412</v>
      </c>
      <c r="E69" s="24" t="s">
        <v>419</v>
      </c>
      <c r="F69" s="28">
        <f>IFERROR(VLOOKUP(E69,'[9]SAP Input-BS'!$A$5:$F$502,5,0),0)</f>
        <v>0</v>
      </c>
      <c r="G69" s="28">
        <f>IFERROR(VLOOKUP(E69,'[10]SAP Input-BS'!$A$5:$F$500,5,0),0)</f>
        <v>0</v>
      </c>
      <c r="H69" s="73">
        <f t="shared" si="1"/>
        <v>0</v>
      </c>
      <c r="I69" s="83"/>
      <c r="K69" s="28">
        <f>IFERROR(VLOOKUP(E69,'[11]SAP Input-BS'!$A$5:$E$500,5,0),0)</f>
        <v>0</v>
      </c>
      <c r="L69" s="28">
        <v>0</v>
      </c>
    </row>
    <row r="70" spans="1:12">
      <c r="A70" s="1" t="s">
        <v>286</v>
      </c>
      <c r="B70" s="2" t="s">
        <v>395</v>
      </c>
      <c r="D70" s="3" t="s">
        <v>420</v>
      </c>
      <c r="E70" s="6" t="s">
        <v>427</v>
      </c>
      <c r="F70" s="27">
        <f>IFERROR(VLOOKUP(E70,'[9]SAP Input-BS'!$A$5:$F$502,5,0),0)</f>
        <v>0</v>
      </c>
      <c r="G70" s="27">
        <f>IFERROR(VLOOKUP(E70,'[10]SAP Input-BS'!$A$5:$F$500,5,0),0)</f>
        <v>0</v>
      </c>
      <c r="H70" s="73">
        <f t="shared" si="1"/>
        <v>0</v>
      </c>
      <c r="I70" s="77"/>
      <c r="K70" s="27">
        <f>IFERROR(VLOOKUP(E70,'[11]SAP Input-BS'!$A$5:$E$500,5,0),0)</f>
        <v>0</v>
      </c>
      <c r="L70" s="27">
        <v>0</v>
      </c>
    </row>
    <row r="71" spans="1:12">
      <c r="A71" s="1" t="s">
        <v>286</v>
      </c>
      <c r="B71" s="2" t="s">
        <v>395</v>
      </c>
      <c r="D71" s="3" t="s">
        <v>421</v>
      </c>
      <c r="E71" s="6" t="s">
        <v>428</v>
      </c>
      <c r="F71" s="27">
        <f>IFERROR(VLOOKUP(E71,'[9]SAP Input-BS'!$A$5:$F$502,5,0),0)</f>
        <v>0</v>
      </c>
      <c r="G71" s="27">
        <f>IFERROR(VLOOKUP(E71,'[10]SAP Input-BS'!$A$5:$F$500,5,0),0)</f>
        <v>0</v>
      </c>
      <c r="H71" s="73">
        <f t="shared" si="1"/>
        <v>0</v>
      </c>
      <c r="I71" s="77"/>
      <c r="K71" s="27">
        <f>IFERROR(VLOOKUP(E71,'[11]SAP Input-BS'!$A$5:$E$500,5,0),0)</f>
        <v>0</v>
      </c>
      <c r="L71" s="27">
        <v>0</v>
      </c>
    </row>
    <row r="72" spans="1:12">
      <c r="A72" s="1" t="s">
        <v>286</v>
      </c>
      <c r="B72" s="2" t="s">
        <v>395</v>
      </c>
      <c r="D72" s="3" t="s">
        <v>422</v>
      </c>
      <c r="E72" s="6" t="s">
        <v>429</v>
      </c>
      <c r="F72" s="27">
        <f>IFERROR(VLOOKUP(E72,'[9]SAP Input-BS'!$A$5:$F$502,5,0),0)</f>
        <v>0</v>
      </c>
      <c r="G72" s="27">
        <f>IFERROR(VLOOKUP(E72,'[10]SAP Input-BS'!$A$5:$F$500,5,0),0)</f>
        <v>0</v>
      </c>
      <c r="H72" s="73">
        <f t="shared" si="1"/>
        <v>0</v>
      </c>
      <c r="I72" s="77"/>
      <c r="K72" s="27">
        <f>IFERROR(VLOOKUP(E72,'[11]SAP Input-BS'!$A$5:$E$500,5,0),0)</f>
        <v>0</v>
      </c>
      <c r="L72" s="27">
        <v>0</v>
      </c>
    </row>
    <row r="73" spans="1:12">
      <c r="A73" s="1" t="s">
        <v>286</v>
      </c>
      <c r="B73" s="2" t="s">
        <v>395</v>
      </c>
      <c r="D73" s="3" t="s">
        <v>423</v>
      </c>
      <c r="E73" s="6" t="s">
        <v>430</v>
      </c>
      <c r="F73" s="27">
        <f>IFERROR(VLOOKUP(E73,'[9]SAP Input-BS'!$A$5:$F$502,5,0),0)</f>
        <v>0</v>
      </c>
      <c r="G73" s="27">
        <f>IFERROR(VLOOKUP(E73,'[10]SAP Input-BS'!$A$5:$F$500,5,0),0)</f>
        <v>0</v>
      </c>
      <c r="H73" s="73">
        <f t="shared" si="1"/>
        <v>0</v>
      </c>
      <c r="I73" s="77"/>
      <c r="K73" s="27">
        <f>IFERROR(VLOOKUP(E73,'[11]SAP Input-BS'!$A$5:$E$500,5,0),0)</f>
        <v>0</v>
      </c>
      <c r="L73" s="27">
        <v>0</v>
      </c>
    </row>
    <row r="74" spans="1:12">
      <c r="A74" s="1" t="s">
        <v>286</v>
      </c>
      <c r="B74" s="2" t="s">
        <v>395</v>
      </c>
      <c r="D74" s="3" t="s">
        <v>424</v>
      </c>
      <c r="E74" s="6" t="s">
        <v>431</v>
      </c>
      <c r="F74" s="27">
        <f>IFERROR(VLOOKUP(E74,'[9]SAP Input-BS'!$A$5:$F$502,5,0),0)</f>
        <v>-89267370</v>
      </c>
      <c r="G74" s="27">
        <f>IFERROR(VLOOKUP(E74,'[10]SAP Input-BS'!$A$5:$F$500,5,0),0)</f>
        <v>-66790247</v>
      </c>
      <c r="H74" s="73">
        <f t="shared" si="1"/>
        <v>-22477123</v>
      </c>
      <c r="I74" s="77"/>
      <c r="K74" s="27">
        <f>IFERROR(VLOOKUP(E74,'[11]SAP Input-BS'!$A$5:$E$500,5,0),0)</f>
        <v>-98467847</v>
      </c>
      <c r="L74" s="27">
        <v>-98754764.379999995</v>
      </c>
    </row>
    <row r="75" spans="1:12" s="1" customFormat="1">
      <c r="A75" s="19" t="s">
        <v>286</v>
      </c>
      <c r="B75" s="20" t="s">
        <v>395</v>
      </c>
      <c r="C75" s="19"/>
      <c r="D75" s="53" t="s">
        <v>425</v>
      </c>
      <c r="E75" s="24" t="s">
        <v>432</v>
      </c>
      <c r="F75" s="28">
        <f>IFERROR(VLOOKUP(E75,'[9]SAP Input-BS'!$A$5:$F$502,5,0),0)</f>
        <v>-89267370</v>
      </c>
      <c r="G75" s="28">
        <f>IFERROR(VLOOKUP(E75,'[10]SAP Input-BS'!$A$5:$F$500,5,0),0)</f>
        <v>-66790247</v>
      </c>
      <c r="H75" s="73">
        <f t="shared" si="1"/>
        <v>-22477123</v>
      </c>
      <c r="I75" s="83"/>
      <c r="K75" s="28">
        <f>IFERROR(VLOOKUP(E75,'[11]SAP Input-BS'!$A$5:$E$500,5,0),0)</f>
        <v>-98467847</v>
      </c>
      <c r="L75" s="28">
        <v>-98754764.379999995</v>
      </c>
    </row>
    <row r="76" spans="1:12" s="1" customFormat="1">
      <c r="A76" s="19" t="s">
        <v>286</v>
      </c>
      <c r="B76" s="20" t="s">
        <v>395</v>
      </c>
      <c r="C76" s="19"/>
      <c r="D76" s="53" t="s">
        <v>426</v>
      </c>
      <c r="E76" s="24" t="s">
        <v>433</v>
      </c>
      <c r="F76" s="28">
        <f>IFERROR(VLOOKUP(E76,'[9]SAP Input-BS'!$A$5:$F$502,5,0),0)</f>
        <v>-5278456616</v>
      </c>
      <c r="G76" s="28">
        <f>IFERROR(VLOOKUP(E76,'[10]SAP Input-BS'!$A$5:$F$500,5,0),0)</f>
        <v>-5742058354</v>
      </c>
      <c r="H76" s="73">
        <f t="shared" si="1"/>
        <v>463601738</v>
      </c>
      <c r="I76" s="83"/>
      <c r="K76" s="28">
        <f>IFERROR(VLOOKUP(E76,'[11]SAP Input-BS'!$A$5:$E$500,5,0),0)</f>
        <v>-9397936553</v>
      </c>
      <c r="L76" s="28">
        <v>-9345142344.3799992</v>
      </c>
    </row>
    <row r="77" spans="1:12">
      <c r="A77" s="1" t="s">
        <v>286</v>
      </c>
      <c r="B77" s="1" t="s">
        <v>463</v>
      </c>
      <c r="D77" s="3" t="s">
        <v>434</v>
      </c>
      <c r="E77" s="6" t="s">
        <v>448</v>
      </c>
      <c r="F77" s="63">
        <f>IFERROR(VLOOKUP(E77,'[9]SAP Input-BS'!$A$5:$F$502,5,0),0)</f>
        <v>-580350048.12</v>
      </c>
      <c r="G77" s="63">
        <f>IFERROR(VLOOKUP(E77,'[10]SAP Input-BS'!$A$5:$F$500,5,0),0)</f>
        <v>-843298710.19000006</v>
      </c>
      <c r="H77" s="75">
        <f t="shared" si="1"/>
        <v>262948662.07000005</v>
      </c>
      <c r="I77" s="77"/>
      <c r="K77" s="27">
        <f>IFERROR(VLOOKUP(E77,'[11]SAP Input-BS'!$A$5:$E$500,5,0),0)</f>
        <v>-511863932.23000002</v>
      </c>
      <c r="L77" s="27">
        <v>-785561746.64999998</v>
      </c>
    </row>
    <row r="78" spans="1:12">
      <c r="A78" s="1" t="s">
        <v>286</v>
      </c>
      <c r="B78" s="1" t="s">
        <v>463</v>
      </c>
      <c r="D78" s="3" t="s">
        <v>435</v>
      </c>
      <c r="E78" s="6" t="s">
        <v>449</v>
      </c>
      <c r="F78" s="27">
        <f>IFERROR(VLOOKUP(E78,'[9]SAP Input-BS'!$A$5:$F$502,5,0),0)</f>
        <v>0</v>
      </c>
      <c r="G78" s="27">
        <f>IFERROR(VLOOKUP(E78,'[10]SAP Input-BS'!$A$5:$F$500,5,0),0)</f>
        <v>0</v>
      </c>
      <c r="H78" s="73">
        <f t="shared" si="1"/>
        <v>0</v>
      </c>
      <c r="I78" s="77"/>
      <c r="K78" s="27">
        <f>IFERROR(VLOOKUP(E78,'[11]SAP Input-BS'!$A$5:$E$500,5,0),0)</f>
        <v>0</v>
      </c>
      <c r="L78" s="27">
        <v>0</v>
      </c>
    </row>
    <row r="79" spans="1:12">
      <c r="A79" s="1" t="s">
        <v>286</v>
      </c>
      <c r="B79" s="1" t="s">
        <v>463</v>
      </c>
      <c r="D79" s="3" t="s">
        <v>436</v>
      </c>
      <c r="E79" s="6" t="s">
        <v>450</v>
      </c>
      <c r="F79" s="27">
        <f>IFERROR(VLOOKUP(E79,'[9]SAP Input-BS'!$A$5:$F$502,5,0),0)</f>
        <v>0</v>
      </c>
      <c r="G79" s="27">
        <f>IFERROR(VLOOKUP(E79,'[10]SAP Input-BS'!$A$5:$F$500,5,0),0)</f>
        <v>0</v>
      </c>
      <c r="H79" s="73">
        <f t="shared" si="1"/>
        <v>0</v>
      </c>
      <c r="I79" s="77"/>
      <c r="K79" s="27">
        <f>IFERROR(VLOOKUP(E79,'[11]SAP Input-BS'!$A$5:$E$500,5,0),0)</f>
        <v>0</v>
      </c>
      <c r="L79" s="27">
        <v>0</v>
      </c>
    </row>
    <row r="80" spans="1:12">
      <c r="A80" s="1" t="s">
        <v>286</v>
      </c>
      <c r="B80" s="1" t="s">
        <v>463</v>
      </c>
      <c r="D80" s="3" t="s">
        <v>437</v>
      </c>
      <c r="E80" s="6" t="s">
        <v>451</v>
      </c>
      <c r="F80" s="27">
        <f>IFERROR(VLOOKUP(E80,'[9]SAP Input-BS'!$A$5:$F$502,5,0),0)</f>
        <v>0</v>
      </c>
      <c r="G80" s="27">
        <f>IFERROR(VLOOKUP(E80,'[10]SAP Input-BS'!$A$5:$F$500,5,0),0)</f>
        <v>0</v>
      </c>
      <c r="H80" s="73">
        <f t="shared" si="1"/>
        <v>0</v>
      </c>
      <c r="I80" s="77"/>
      <c r="K80" s="27">
        <f>IFERROR(VLOOKUP(E80,'[11]SAP Input-BS'!$A$5:$E$500,5,0),0)</f>
        <v>0</v>
      </c>
      <c r="L80" s="27">
        <v>0</v>
      </c>
    </row>
    <row r="81" spans="1:12">
      <c r="A81" s="1" t="s">
        <v>286</v>
      </c>
      <c r="B81" s="1" t="s">
        <v>463</v>
      </c>
      <c r="D81" s="3" t="s">
        <v>438</v>
      </c>
      <c r="E81" s="6" t="s">
        <v>452</v>
      </c>
      <c r="F81" s="27">
        <f>IFERROR(VLOOKUP(E81,'[9]SAP Input-BS'!$A$5:$F$502,5,0),0)</f>
        <v>0</v>
      </c>
      <c r="G81" s="27">
        <f>IFERROR(VLOOKUP(E81,'[10]SAP Input-BS'!$A$5:$F$500,5,0),0)</f>
        <v>0</v>
      </c>
      <c r="H81" s="73">
        <f t="shared" si="1"/>
        <v>0</v>
      </c>
      <c r="I81" s="77"/>
      <c r="K81" s="27">
        <f>IFERROR(VLOOKUP(E81,'[11]SAP Input-BS'!$A$5:$E$500,5,0),0)</f>
        <v>0</v>
      </c>
      <c r="L81" s="27">
        <v>0</v>
      </c>
    </row>
    <row r="82" spans="1:12">
      <c r="A82" s="1" t="s">
        <v>286</v>
      </c>
      <c r="B82" s="1" t="s">
        <v>463</v>
      </c>
      <c r="D82" s="3" t="s">
        <v>439</v>
      </c>
      <c r="E82" s="6" t="s">
        <v>453</v>
      </c>
      <c r="F82" s="63">
        <f>IFERROR(VLOOKUP(E82,'[9]SAP Input-BS'!$A$5:$F$502,5,0),0)</f>
        <v>-39957922.640000001</v>
      </c>
      <c r="G82" s="63">
        <f>IFERROR(VLOOKUP(E82,'[10]SAP Input-BS'!$A$5:$F$500,5,0),0)</f>
        <v>-49957922.009999998</v>
      </c>
      <c r="H82" s="75">
        <f t="shared" si="1"/>
        <v>9999999.3699999973</v>
      </c>
      <c r="I82" s="77"/>
      <c r="K82" s="27">
        <f>IFERROR(VLOOKUP(E82,'[11]SAP Input-BS'!$A$5:$E$500,5,0),0)</f>
        <v>-557811793.80999994</v>
      </c>
      <c r="L82" s="27">
        <v>-39957942.600000001</v>
      </c>
    </row>
    <row r="83" spans="1:12">
      <c r="A83" s="1" t="s">
        <v>286</v>
      </c>
      <c r="B83" s="1" t="s">
        <v>463</v>
      </c>
      <c r="D83" s="3" t="s">
        <v>440</v>
      </c>
      <c r="E83" s="6" t="s">
        <v>454</v>
      </c>
      <c r="F83" s="27">
        <f>IFERROR(VLOOKUP(E83,'[9]SAP Input-BS'!$A$5:$F$502,5,0),0)</f>
        <v>-94624006.299999997</v>
      </c>
      <c r="G83" s="27">
        <f>IFERROR(VLOOKUP(E83,'[10]SAP Input-BS'!$A$5:$F$500,5,0),0)</f>
        <v>-88077933.829999998</v>
      </c>
      <c r="H83" s="73">
        <f t="shared" si="1"/>
        <v>-6546072.4699999988</v>
      </c>
      <c r="I83" s="77"/>
      <c r="K83" s="27">
        <f>IFERROR(VLOOKUP(E83,'[11]SAP Input-BS'!$A$5:$E$500,5,0),0)</f>
        <v>3449383702.8899999</v>
      </c>
      <c r="L83" s="27">
        <v>-247684755.78</v>
      </c>
    </row>
    <row r="84" spans="1:12">
      <c r="A84" s="1" t="s">
        <v>286</v>
      </c>
      <c r="B84" s="1" t="s">
        <v>463</v>
      </c>
      <c r="D84" s="3" t="s">
        <v>441</v>
      </c>
      <c r="E84" s="6" t="s">
        <v>455</v>
      </c>
      <c r="F84" s="27">
        <f>IFERROR(VLOOKUP(E84,'[9]SAP Input-BS'!$A$5:$F$502,5,0),0)</f>
        <v>-18546832</v>
      </c>
      <c r="G84" s="27">
        <f>IFERROR(VLOOKUP(E84,'[10]SAP Input-BS'!$A$5:$F$500,5,0),0)</f>
        <v>-18546832</v>
      </c>
      <c r="H84" s="73">
        <f t="shared" si="1"/>
        <v>0</v>
      </c>
      <c r="I84" s="77"/>
      <c r="K84" s="27">
        <f>IFERROR(VLOOKUP(E84,'[11]SAP Input-BS'!$A$5:$E$500,5,0),0)</f>
        <v>0</v>
      </c>
      <c r="L84" s="27">
        <v>-18546832</v>
      </c>
    </row>
    <row r="85" spans="1:12">
      <c r="A85" s="1" t="s">
        <v>286</v>
      </c>
      <c r="B85" s="1" t="s">
        <v>463</v>
      </c>
      <c r="D85" s="3" t="s">
        <v>442</v>
      </c>
      <c r="E85" s="6" t="s">
        <v>456</v>
      </c>
      <c r="F85" s="27">
        <f>IFERROR(VLOOKUP(E85,'[9]SAP Input-BS'!$A$5:$F$502,5,0),0)</f>
        <v>0</v>
      </c>
      <c r="G85" s="27">
        <f>IFERROR(VLOOKUP(E85,'[10]SAP Input-BS'!$A$5:$F$500,5,0),0)</f>
        <v>0</v>
      </c>
      <c r="H85" s="73">
        <f t="shared" si="1"/>
        <v>0</v>
      </c>
      <c r="I85" s="77"/>
      <c r="K85" s="27">
        <f>IFERROR(VLOOKUP(E85,'[11]SAP Input-BS'!$A$5:$E$500,5,0),0)</f>
        <v>0</v>
      </c>
      <c r="L85" s="27">
        <v>0</v>
      </c>
    </row>
    <row r="86" spans="1:12">
      <c r="A86" s="1" t="s">
        <v>286</v>
      </c>
      <c r="B86" s="1" t="s">
        <v>463</v>
      </c>
      <c r="D86" s="3" t="s">
        <v>136</v>
      </c>
      <c r="E86" s="6" t="s">
        <v>457</v>
      </c>
      <c r="F86" s="27">
        <f>IFERROR(VLOOKUP(E86,'[9]SAP Input-BS'!$A$5:$F$502,5,0),0)</f>
        <v>0</v>
      </c>
      <c r="G86" s="27">
        <f>IFERROR(VLOOKUP(E86,'[10]SAP Input-BS'!$A$5:$F$500,5,0),0)</f>
        <v>0</v>
      </c>
      <c r="H86" s="73">
        <f t="shared" si="1"/>
        <v>0</v>
      </c>
      <c r="I86" s="77"/>
      <c r="K86" s="27">
        <f>IFERROR(VLOOKUP(E86,'[11]SAP Input-BS'!$A$5:$E$500,5,0),0)</f>
        <v>0</v>
      </c>
      <c r="L86" s="27">
        <v>0</v>
      </c>
    </row>
    <row r="87" spans="1:12">
      <c r="A87" s="1" t="s">
        <v>286</v>
      </c>
      <c r="B87" s="1" t="s">
        <v>463</v>
      </c>
      <c r="D87" s="3" t="s">
        <v>443</v>
      </c>
      <c r="E87" s="6" t="s">
        <v>458</v>
      </c>
      <c r="F87" s="27">
        <f>IFERROR(VLOOKUP(E87,'[9]SAP Input-BS'!$A$5:$F$502,5,0),0)</f>
        <v>0</v>
      </c>
      <c r="G87" s="27">
        <f>IFERROR(VLOOKUP(E87,'[10]SAP Input-BS'!$A$5:$F$500,5,0),0)</f>
        <v>0</v>
      </c>
      <c r="H87" s="73">
        <f t="shared" si="1"/>
        <v>0</v>
      </c>
      <c r="I87" s="77"/>
      <c r="K87" s="27">
        <f>IFERROR(VLOOKUP(E87,'[11]SAP Input-BS'!$A$5:$E$500,5,0),0)</f>
        <v>0</v>
      </c>
      <c r="L87" s="27">
        <v>0</v>
      </c>
    </row>
    <row r="88" spans="1:12">
      <c r="A88" s="1" t="s">
        <v>286</v>
      </c>
      <c r="B88" s="1" t="s">
        <v>463</v>
      </c>
      <c r="D88" s="3" t="s">
        <v>444</v>
      </c>
      <c r="E88" s="6" t="s">
        <v>459</v>
      </c>
      <c r="F88" s="27">
        <f>IFERROR(VLOOKUP(E88,'[9]SAP Input-BS'!$A$5:$F$502,5,0),0)</f>
        <v>0</v>
      </c>
      <c r="G88" s="27">
        <f>IFERROR(VLOOKUP(E88,'[10]SAP Input-BS'!$A$5:$F$500,5,0),0)</f>
        <v>0</v>
      </c>
      <c r="H88" s="73">
        <f t="shared" si="1"/>
        <v>0</v>
      </c>
      <c r="I88" s="77"/>
      <c r="K88" s="27">
        <f>IFERROR(VLOOKUP(E88,'[11]SAP Input-BS'!$A$5:$E$500,5,0),0)</f>
        <v>0</v>
      </c>
      <c r="L88" s="27">
        <v>0</v>
      </c>
    </row>
    <row r="89" spans="1:12">
      <c r="A89" s="1" t="s">
        <v>286</v>
      </c>
      <c r="B89" s="1" t="s">
        <v>463</v>
      </c>
      <c r="D89" s="3" t="s">
        <v>445</v>
      </c>
      <c r="E89" s="6" t="s">
        <v>460</v>
      </c>
      <c r="F89" s="27">
        <f>IFERROR(VLOOKUP(E89,'[9]SAP Input-BS'!$A$5:$F$502,5,0),0)</f>
        <v>0</v>
      </c>
      <c r="G89" s="27">
        <f>IFERROR(VLOOKUP(E89,'[10]SAP Input-BS'!$A$5:$F$500,5,0),0)</f>
        <v>0</v>
      </c>
      <c r="H89" s="73">
        <f t="shared" si="1"/>
        <v>0</v>
      </c>
      <c r="I89" s="77"/>
      <c r="K89" s="27">
        <f>IFERROR(VLOOKUP(E89,'[11]SAP Input-BS'!$A$5:$E$500,5,0),0)</f>
        <v>0</v>
      </c>
      <c r="L89" s="27">
        <v>0</v>
      </c>
    </row>
    <row r="90" spans="1:12">
      <c r="A90" s="1" t="s">
        <v>286</v>
      </c>
      <c r="B90" s="1" t="s">
        <v>463</v>
      </c>
      <c r="D90" s="11" t="s">
        <v>446</v>
      </c>
      <c r="E90" s="6" t="s">
        <v>461</v>
      </c>
      <c r="F90" s="63">
        <f>IFERROR(VLOOKUP(E90,'[9]SAP Input-BS'!$A$5:$F$502,5,0),0)</f>
        <v>-777851079.73000002</v>
      </c>
      <c r="G90" s="63">
        <f>IFERROR(VLOOKUP(E90,'[10]SAP Input-BS'!$A$5:$F$500,5,0),0)</f>
        <v>-1402469458.28</v>
      </c>
      <c r="H90" s="75">
        <f t="shared" si="1"/>
        <v>624618378.54999995</v>
      </c>
      <c r="I90" s="77"/>
      <c r="K90" s="27">
        <f>IFERROR(VLOOKUP(E90,'[11]SAP Input-BS'!$A$5:$E$500,5,0),0)</f>
        <v>-874205901.67999995</v>
      </c>
      <c r="L90" s="27">
        <v>-1351324354.48</v>
      </c>
    </row>
    <row r="91" spans="1:12">
      <c r="A91" s="19" t="s">
        <v>286</v>
      </c>
      <c r="B91" s="19" t="s">
        <v>463</v>
      </c>
      <c r="C91" s="19"/>
      <c r="D91" s="53" t="s">
        <v>447</v>
      </c>
      <c r="E91" s="21" t="s">
        <v>462</v>
      </c>
      <c r="F91" s="28">
        <f>IFERROR(VLOOKUP(E91,'[9]SAP Input-BS'!$A$5:$F$502,5,0),0)</f>
        <v>-6789786504.79</v>
      </c>
      <c r="G91" s="28">
        <f>IFERROR(VLOOKUP(E91,'[10]SAP Input-BS'!$A$5:$F$500,5,0),0)</f>
        <v>-8144409210.3100004</v>
      </c>
      <c r="H91" s="73">
        <f t="shared" si="1"/>
        <v>1354622705.5200005</v>
      </c>
      <c r="I91" s="83"/>
      <c r="K91" s="28">
        <f>IFERROR(VLOOKUP(E91,'[11]SAP Input-BS'!$A$5:$E$500,5,0),0)</f>
        <v>-7892434477.8299999</v>
      </c>
      <c r="L91" s="28">
        <v>-11788217975.889999</v>
      </c>
    </row>
    <row r="92" spans="1:12">
      <c r="A92" s="1" t="s">
        <v>286</v>
      </c>
      <c r="B92" s="1" t="s">
        <v>468</v>
      </c>
      <c r="D92" s="37" t="s">
        <v>464</v>
      </c>
      <c r="E92" s="6" t="s">
        <v>469</v>
      </c>
      <c r="F92" s="27">
        <f>IFERROR(VLOOKUP(E92,'[9]SAP Input-BS'!$A$5:$F$502,5,0),0)</f>
        <v>0</v>
      </c>
      <c r="G92" s="27">
        <f>IFERROR(VLOOKUP(E92,'[10]SAP Input-BS'!$A$5:$F$500,5,0),0)</f>
        <v>0</v>
      </c>
      <c r="H92" s="73">
        <f t="shared" si="1"/>
        <v>0</v>
      </c>
      <c r="I92" s="77"/>
      <c r="K92" s="27">
        <f>IFERROR(VLOOKUP(E92,'[11]SAP Input-BS'!$A$5:$E$500,5,0),0)</f>
        <v>0</v>
      </c>
      <c r="L92" s="27">
        <v>0</v>
      </c>
    </row>
    <row r="93" spans="1:12">
      <c r="A93" s="1" t="s">
        <v>286</v>
      </c>
      <c r="B93" s="1" t="s">
        <v>468</v>
      </c>
      <c r="D93" s="37" t="s">
        <v>465</v>
      </c>
      <c r="E93" s="6" t="s">
        <v>470</v>
      </c>
      <c r="F93" s="27">
        <f>IFERROR(VLOOKUP(E93,'[9]SAP Input-BS'!$A$5:$F$502,5,0),0)</f>
        <v>0</v>
      </c>
      <c r="G93" s="27">
        <f>IFERROR(VLOOKUP(E93,'[10]SAP Input-BS'!$A$5:$F$500,5,0),0)</f>
        <v>0</v>
      </c>
      <c r="H93" s="73">
        <f t="shared" si="1"/>
        <v>0</v>
      </c>
      <c r="I93" s="77"/>
      <c r="K93" s="27">
        <f>IFERROR(VLOOKUP(E93,'[11]SAP Input-BS'!$A$5:$E$500,5,0),0)</f>
        <v>0</v>
      </c>
      <c r="L93" s="27">
        <v>0</v>
      </c>
    </row>
    <row r="94" spans="1:12">
      <c r="A94" s="1" t="s">
        <v>286</v>
      </c>
      <c r="B94" s="1" t="s">
        <v>468</v>
      </c>
      <c r="D94" s="38" t="s">
        <v>466</v>
      </c>
      <c r="E94" s="6" t="s">
        <v>471</v>
      </c>
      <c r="F94" s="27">
        <f>IFERROR(VLOOKUP(E94,'[9]SAP Input-BS'!$A$5:$F$502,5,0),0)</f>
        <v>0</v>
      </c>
      <c r="G94" s="27">
        <f>IFERROR(VLOOKUP(E94,'[10]SAP Input-BS'!$A$5:$F$500,5,0),0)</f>
        <v>0</v>
      </c>
      <c r="H94" s="73">
        <f t="shared" si="1"/>
        <v>0</v>
      </c>
      <c r="I94" s="77"/>
      <c r="K94" s="27">
        <f>IFERROR(VLOOKUP(E94,'[11]SAP Input-BS'!$A$5:$E$500,5,0),0)</f>
        <v>0</v>
      </c>
      <c r="L94" s="27">
        <v>0</v>
      </c>
    </row>
    <row r="95" spans="1:12">
      <c r="A95" s="19" t="s">
        <v>286</v>
      </c>
      <c r="B95" s="19" t="s">
        <v>468</v>
      </c>
      <c r="C95" s="19"/>
      <c r="D95" s="53" t="s">
        <v>467</v>
      </c>
      <c r="E95" s="21" t="s">
        <v>472</v>
      </c>
      <c r="F95" s="28">
        <f>IFERROR(VLOOKUP(E95,'[9]SAP Input-BS'!$A$5:$F$502,5,0),0)</f>
        <v>0</v>
      </c>
      <c r="G95" s="28">
        <f>IFERROR(VLOOKUP(E95,'[10]SAP Input-BS'!$A$5:$F$500,5,0),0)</f>
        <v>0</v>
      </c>
      <c r="H95" s="73">
        <f t="shared" si="1"/>
        <v>0</v>
      </c>
      <c r="I95" s="83"/>
      <c r="K95" s="28">
        <f>IFERROR(VLOOKUP(E95,'[11]SAP Input-BS'!$A$5:$E$500,5,0),0)</f>
        <v>0</v>
      </c>
      <c r="L95" s="28">
        <v>0</v>
      </c>
    </row>
    <row r="96" spans="1:12">
      <c r="A96" s="1" t="s">
        <v>286</v>
      </c>
      <c r="B96" s="1" t="s">
        <v>483</v>
      </c>
      <c r="D96" s="3" t="s">
        <v>473</v>
      </c>
      <c r="E96" s="6" t="s">
        <v>478</v>
      </c>
      <c r="F96" s="27">
        <f>IFERROR(VLOOKUP(E96,'[9]SAP Input-BS'!$A$5:$F$502,5,0),0)</f>
        <v>0</v>
      </c>
      <c r="G96" s="27">
        <f>IFERROR(VLOOKUP(E96,'[10]SAP Input-BS'!$A$5:$F$500,5,0),0)</f>
        <v>0</v>
      </c>
      <c r="H96" s="73">
        <f t="shared" si="1"/>
        <v>0</v>
      </c>
      <c r="I96" s="77"/>
      <c r="K96" s="27">
        <f>IFERROR(VLOOKUP(E96,'[11]SAP Input-BS'!$A$5:$E$500,5,0),0)</f>
        <v>0</v>
      </c>
      <c r="L96" s="27">
        <v>0</v>
      </c>
    </row>
    <row r="97" spans="1:12">
      <c r="A97" s="1" t="s">
        <v>286</v>
      </c>
      <c r="B97" s="1" t="s">
        <v>483</v>
      </c>
      <c r="D97" s="3" t="s">
        <v>474</v>
      </c>
      <c r="E97" s="6" t="s">
        <v>479</v>
      </c>
      <c r="F97" s="63">
        <f>IFERROR(VLOOKUP(E97,'[9]SAP Input-BS'!$A$5:$F$502,5,0),0)</f>
        <v>-2441062170</v>
      </c>
      <c r="G97" s="63">
        <f>IFERROR(VLOOKUP(E97,'[10]SAP Input-BS'!$A$5:$F$500,5,0),0)</f>
        <v>-2400262218</v>
      </c>
      <c r="H97" s="75">
        <f t="shared" si="1"/>
        <v>-40799952</v>
      </c>
      <c r="I97" s="77"/>
      <c r="K97" s="27">
        <f>IFERROR(VLOOKUP(E97,'[11]SAP Input-BS'!$A$5:$E$500,5,0),0)</f>
        <v>-4360960839</v>
      </c>
      <c r="L97" s="27">
        <v>-4748656897</v>
      </c>
    </row>
    <row r="98" spans="1:12">
      <c r="A98" s="1" t="s">
        <v>286</v>
      </c>
      <c r="B98" s="1" t="s">
        <v>483</v>
      </c>
      <c r="D98" s="3" t="s">
        <v>475</v>
      </c>
      <c r="E98" s="6" t="s">
        <v>480</v>
      </c>
      <c r="F98" s="27">
        <f>IFERROR(VLOOKUP(E98,'[9]SAP Input-BS'!$A$5:$F$502,5,0),0)</f>
        <v>-48213234</v>
      </c>
      <c r="G98" s="27">
        <f>IFERROR(VLOOKUP(E98,'[10]SAP Input-BS'!$A$5:$F$500,5,0),0)</f>
        <v>-49228809.039999999</v>
      </c>
      <c r="H98" s="73">
        <f t="shared" si="1"/>
        <v>1015575.0399999991</v>
      </c>
      <c r="I98" s="77"/>
      <c r="K98" s="27">
        <f>IFERROR(VLOOKUP(E98,'[11]SAP Input-BS'!$A$5:$E$500,5,0),0)</f>
        <v>-80022777.209999993</v>
      </c>
      <c r="L98" s="27">
        <v>-53750617.939999998</v>
      </c>
    </row>
    <row r="99" spans="1:12">
      <c r="A99" s="1" t="s">
        <v>286</v>
      </c>
      <c r="B99" s="1" t="s">
        <v>483</v>
      </c>
      <c r="D99" s="3" t="s">
        <v>476</v>
      </c>
      <c r="E99" s="6" t="s">
        <v>481</v>
      </c>
      <c r="F99" s="63">
        <f>IFERROR(VLOOKUP(E99,'[9]SAP Input-BS'!$A$5:$F$502,5,0),0)</f>
        <v>-2182256364</v>
      </c>
      <c r="G99" s="63">
        <f>IFERROR(VLOOKUP(E99,'[10]SAP Input-BS'!$A$5:$F$500,5,0),0)</f>
        <v>-1774763788</v>
      </c>
      <c r="H99" s="75">
        <f t="shared" si="1"/>
        <v>-407492576</v>
      </c>
      <c r="I99" s="77"/>
      <c r="J99" t="s">
        <v>652</v>
      </c>
      <c r="K99" s="27">
        <f>IFERROR(VLOOKUP(E99,'[11]SAP Input-BS'!$A$5:$E$500,5,0),0)</f>
        <v>-1903136172</v>
      </c>
      <c r="L99" s="27">
        <v>-1781933553</v>
      </c>
    </row>
    <row r="100" spans="1:12">
      <c r="A100" s="19" t="s">
        <v>286</v>
      </c>
      <c r="B100" s="19" t="s">
        <v>483</v>
      </c>
      <c r="C100" s="19"/>
      <c r="D100" s="53" t="s">
        <v>477</v>
      </c>
      <c r="E100" s="21" t="s">
        <v>482</v>
      </c>
      <c r="F100" s="81">
        <f>IFERROR(VLOOKUP(E100,'[9]SAP Input-BS'!$A$5:$F$502,5,0),0)</f>
        <v>-4671531768</v>
      </c>
      <c r="G100" s="28">
        <f>IFERROR(VLOOKUP(E100,'[10]SAP Input-BS'!$A$5:$F$500,5,0),0)</f>
        <v>-4224254815.04</v>
      </c>
      <c r="H100" s="73">
        <f t="shared" si="1"/>
        <v>-447276952.96000004</v>
      </c>
      <c r="I100" s="83"/>
      <c r="K100" s="28">
        <f>IFERROR(VLOOKUP(E100,'[11]SAP Input-BS'!$A$5:$E$500,5,0),0)</f>
        <v>-6344119788.21</v>
      </c>
      <c r="L100" s="28">
        <v>-6584341067.9399996</v>
      </c>
    </row>
    <row r="101" spans="1:12">
      <c r="A101" s="41" t="s">
        <v>286</v>
      </c>
      <c r="B101" s="14" t="s">
        <v>484</v>
      </c>
      <c r="C101" s="14" t="s">
        <v>484</v>
      </c>
      <c r="D101" s="54" t="s">
        <v>484</v>
      </c>
      <c r="E101" s="55" t="s">
        <v>485</v>
      </c>
      <c r="F101" s="56">
        <f>IFERROR(VLOOKUP(E101,'[9]SAP Input-BS'!$A$5:$F$502,5,0),0)</f>
        <v>-26383189192.98</v>
      </c>
      <c r="G101" s="56">
        <f>IFERROR(VLOOKUP(E101,'[10]SAP Input-BS'!$A$5:$F$500,5,0),0)</f>
        <v>-27857044416.09</v>
      </c>
      <c r="H101" s="73">
        <f t="shared" si="1"/>
        <v>1473855223.1100006</v>
      </c>
      <c r="I101" s="84"/>
      <c r="K101" s="56">
        <f>IFERROR(VLOOKUP(E101,'[11]SAP Input-BS'!$A$5:$E$500,5,0),0)</f>
        <v>-26067300783.299999</v>
      </c>
      <c r="L101" s="56">
        <v>-35635505061.650002</v>
      </c>
    </row>
    <row r="102" spans="1:12">
      <c r="E102" s="39"/>
      <c r="F102" s="27"/>
      <c r="G102" s="27"/>
      <c r="H102" s="73">
        <f t="shared" si="1"/>
        <v>0</v>
      </c>
      <c r="I102" s="77"/>
      <c r="K102" s="27"/>
      <c r="L102" s="27"/>
    </row>
    <row r="103" spans="1:12">
      <c r="A103" s="1" t="s">
        <v>486</v>
      </c>
      <c r="B103" s="1" t="s">
        <v>493</v>
      </c>
      <c r="D103" s="3" t="s">
        <v>487</v>
      </c>
      <c r="E103" s="5" t="s">
        <v>494</v>
      </c>
      <c r="F103" s="27">
        <f>IFERROR(VLOOKUP(E103,'[9]SAP Input-BS'!$A$5:$F$502,5,0),0)</f>
        <v>0</v>
      </c>
      <c r="G103" s="27">
        <f>IFERROR(VLOOKUP(E103,'[10]SAP Input-BS'!$A$5:$F$500,5,0),0)</f>
        <v>0</v>
      </c>
      <c r="H103" s="73">
        <f t="shared" si="1"/>
        <v>0</v>
      </c>
      <c r="I103" s="77"/>
      <c r="K103" s="27">
        <f>IFERROR(VLOOKUP(E103,'[11]SAP Input-BS'!$A$5:$E$500,5,0),0)</f>
        <v>0</v>
      </c>
      <c r="L103" s="27">
        <v>0</v>
      </c>
    </row>
    <row r="104" spans="1:12">
      <c r="A104" s="1" t="s">
        <v>486</v>
      </c>
      <c r="B104" s="1" t="s">
        <v>493</v>
      </c>
      <c r="D104" s="3" t="s">
        <v>488</v>
      </c>
      <c r="E104" s="6" t="s">
        <v>495</v>
      </c>
      <c r="F104" s="27">
        <f>IFERROR(VLOOKUP(E104,'[9]SAP Input-BS'!$A$5:$F$502,5,0),0)</f>
        <v>0</v>
      </c>
      <c r="G104" s="27">
        <f>IFERROR(VLOOKUP(E104,'[10]SAP Input-BS'!$A$5:$F$500,5,0),0)</f>
        <v>0</v>
      </c>
      <c r="H104" s="73">
        <f t="shared" si="1"/>
        <v>0</v>
      </c>
      <c r="I104" s="77"/>
      <c r="K104" s="27">
        <f>IFERROR(VLOOKUP(E104,'[11]SAP Input-BS'!$A$5:$E$500,5,0),0)</f>
        <v>0</v>
      </c>
      <c r="L104" s="27">
        <v>0</v>
      </c>
    </row>
    <row r="105" spans="1:12">
      <c r="A105" s="1" t="s">
        <v>486</v>
      </c>
      <c r="B105" s="1" t="s">
        <v>493</v>
      </c>
      <c r="D105" s="3" t="s">
        <v>489</v>
      </c>
      <c r="E105" s="6" t="s">
        <v>496</v>
      </c>
      <c r="F105" s="27">
        <f>IFERROR(VLOOKUP(E105,'[9]SAP Input-BS'!$A$5:$F$502,5,0),0)</f>
        <v>0</v>
      </c>
      <c r="G105" s="27">
        <f>IFERROR(VLOOKUP(E105,'[10]SAP Input-BS'!$A$5:$F$500,5,0),0)</f>
        <v>0</v>
      </c>
      <c r="H105" s="73">
        <f t="shared" si="1"/>
        <v>0</v>
      </c>
      <c r="I105" s="77"/>
      <c r="K105" s="27">
        <f>IFERROR(VLOOKUP(E105,'[11]SAP Input-BS'!$A$5:$E$500,5,0),0)</f>
        <v>0</v>
      </c>
      <c r="L105" s="27">
        <v>0</v>
      </c>
    </row>
    <row r="106" spans="1:12">
      <c r="A106" s="1" t="s">
        <v>486</v>
      </c>
      <c r="B106" s="1" t="s">
        <v>493</v>
      </c>
      <c r="D106" s="3" t="s">
        <v>490</v>
      </c>
      <c r="E106" s="6" t="s">
        <v>497</v>
      </c>
      <c r="F106" s="27">
        <f>IFERROR(VLOOKUP(E106,'[9]SAP Input-BS'!$A$5:$F$502,5,0),0)</f>
        <v>0</v>
      </c>
      <c r="G106" s="27">
        <f>IFERROR(VLOOKUP(E106,'[10]SAP Input-BS'!$A$5:$F$500,5,0),0)</f>
        <v>0</v>
      </c>
      <c r="H106" s="73">
        <f t="shared" si="1"/>
        <v>0</v>
      </c>
      <c r="I106" s="77"/>
      <c r="K106" s="27">
        <f>IFERROR(VLOOKUP(E106,'[11]SAP Input-BS'!$A$5:$E$500,5,0),0)</f>
        <v>0</v>
      </c>
      <c r="L106" s="27">
        <v>0</v>
      </c>
    </row>
    <row r="107" spans="1:12">
      <c r="A107" s="1" t="s">
        <v>486</v>
      </c>
      <c r="B107" s="1" t="s">
        <v>493</v>
      </c>
      <c r="D107" s="3" t="s">
        <v>491</v>
      </c>
      <c r="E107" s="6" t="s">
        <v>498</v>
      </c>
      <c r="F107" s="27">
        <f>IFERROR(VLOOKUP(E107,'[9]SAP Input-BS'!$A$5:$F$502,5,0),0)</f>
        <v>0</v>
      </c>
      <c r="G107" s="27">
        <f>IFERROR(VLOOKUP(E107,'[10]SAP Input-BS'!$A$5:$F$500,5,0),0)</f>
        <v>0</v>
      </c>
      <c r="H107" s="73">
        <f t="shared" si="1"/>
        <v>0</v>
      </c>
      <c r="I107" s="77"/>
      <c r="K107" s="27">
        <f>IFERROR(VLOOKUP(E107,'[11]SAP Input-BS'!$A$5:$E$500,5,0),0)</f>
        <v>0</v>
      </c>
      <c r="L107" s="27">
        <v>0</v>
      </c>
    </row>
    <row r="108" spans="1:12">
      <c r="A108" s="19" t="s">
        <v>486</v>
      </c>
      <c r="B108" s="19" t="s">
        <v>493</v>
      </c>
      <c r="C108" s="19"/>
      <c r="D108" s="53" t="s">
        <v>492</v>
      </c>
      <c r="E108" s="24" t="s">
        <v>499</v>
      </c>
      <c r="F108" s="28">
        <f>IFERROR(VLOOKUP(E108,'[9]SAP Input-BS'!$A$5:$F$502,5,0),0)</f>
        <v>0</v>
      </c>
      <c r="G108" s="28">
        <f>IFERROR(VLOOKUP(E108,'[10]SAP Input-BS'!$A$5:$F$500,5,0),0)</f>
        <v>0</v>
      </c>
      <c r="H108" s="73">
        <f t="shared" si="1"/>
        <v>0</v>
      </c>
      <c r="I108" s="83"/>
      <c r="K108" s="28">
        <f>IFERROR(VLOOKUP(E108,'[11]SAP Input-BS'!$A$5:$E$500,5,0),0)</f>
        <v>0</v>
      </c>
      <c r="L108" s="28">
        <v>0</v>
      </c>
    </row>
    <row r="109" spans="1:12">
      <c r="A109" s="1" t="s">
        <v>486</v>
      </c>
      <c r="B109" s="1" t="s">
        <v>34</v>
      </c>
      <c r="D109" s="3" t="s">
        <v>172</v>
      </c>
      <c r="E109" s="6" t="s">
        <v>500</v>
      </c>
      <c r="F109" s="27">
        <f>IFERROR(VLOOKUP(E109,'[9]SAP Input-BS'!$A$5:$F$502,5,0),0)</f>
        <v>0</v>
      </c>
      <c r="G109" s="27">
        <f>IFERROR(VLOOKUP(E109,'[10]SAP Input-BS'!$A$5:$F$500,5,0),0)</f>
        <v>0</v>
      </c>
      <c r="H109" s="73">
        <f t="shared" si="1"/>
        <v>0</v>
      </c>
      <c r="I109" s="77"/>
      <c r="K109" s="27">
        <f>IFERROR(VLOOKUP(E109,'[11]SAP Input-BS'!$A$5:$E$500,5,0),0)</f>
        <v>0</v>
      </c>
      <c r="L109" s="27">
        <v>0</v>
      </c>
    </row>
    <row r="110" spans="1:12">
      <c r="A110" s="1" t="s">
        <v>486</v>
      </c>
      <c r="B110" s="1" t="s">
        <v>34</v>
      </c>
      <c r="D110" s="3" t="s">
        <v>176</v>
      </c>
      <c r="E110" s="6" t="s">
        <v>501</v>
      </c>
      <c r="F110" s="27">
        <f>IFERROR(VLOOKUP(E110,'[9]SAP Input-BS'!$A$5:$F$502,5,0),0)</f>
        <v>0</v>
      </c>
      <c r="G110" s="27">
        <f>IFERROR(VLOOKUP(E110,'[10]SAP Input-BS'!$A$5:$F$500,5,0),0)</f>
        <v>0</v>
      </c>
      <c r="H110" s="73">
        <f t="shared" si="1"/>
        <v>0</v>
      </c>
      <c r="I110" s="77"/>
      <c r="K110" s="27">
        <f>IFERROR(VLOOKUP(E110,'[11]SAP Input-BS'!$A$5:$E$500,5,0),0)</f>
        <v>0</v>
      </c>
      <c r="L110" s="27">
        <v>0</v>
      </c>
    </row>
    <row r="111" spans="1:12">
      <c r="A111" s="1" t="s">
        <v>486</v>
      </c>
      <c r="B111" s="1" t="s">
        <v>34</v>
      </c>
      <c r="D111" s="3" t="s">
        <v>178</v>
      </c>
      <c r="E111" s="6" t="s">
        <v>502</v>
      </c>
      <c r="F111" s="27">
        <f>IFERROR(VLOOKUP(E111,'[9]SAP Input-BS'!$A$5:$F$502,5,0),0)</f>
        <v>0</v>
      </c>
      <c r="G111" s="27">
        <f>IFERROR(VLOOKUP(E111,'[10]SAP Input-BS'!$A$5:$F$500,5,0),0)</f>
        <v>0</v>
      </c>
      <c r="H111" s="73">
        <f t="shared" si="1"/>
        <v>0</v>
      </c>
      <c r="I111" s="77"/>
      <c r="K111" s="27">
        <f>IFERROR(VLOOKUP(E111,'[11]SAP Input-BS'!$A$5:$E$500,5,0),0)</f>
        <v>0</v>
      </c>
      <c r="L111" s="27">
        <v>0</v>
      </c>
    </row>
    <row r="112" spans="1:12">
      <c r="A112" s="1" t="s">
        <v>486</v>
      </c>
      <c r="B112" s="1" t="s">
        <v>34</v>
      </c>
      <c r="D112" s="3" t="s">
        <v>180</v>
      </c>
      <c r="E112" s="6" t="s">
        <v>503</v>
      </c>
      <c r="F112" s="27">
        <f>IFERROR(VLOOKUP(E112,'[9]SAP Input-BS'!$A$5:$F$502,5,0),0)</f>
        <v>0</v>
      </c>
      <c r="G112" s="27">
        <f>IFERROR(VLOOKUP(E112,'[10]SAP Input-BS'!$A$5:$F$500,5,0),0)</f>
        <v>0</v>
      </c>
      <c r="H112" s="73">
        <f t="shared" si="1"/>
        <v>0</v>
      </c>
      <c r="I112" s="77"/>
      <c r="K112" s="27">
        <f>IFERROR(VLOOKUP(E112,'[11]SAP Input-BS'!$A$5:$E$500,5,0),0)</f>
        <v>0</v>
      </c>
      <c r="L112" s="27">
        <v>0</v>
      </c>
    </row>
    <row r="113" spans="1:12">
      <c r="A113" s="19" t="s">
        <v>486</v>
      </c>
      <c r="B113" s="19" t="s">
        <v>34</v>
      </c>
      <c r="C113" s="19"/>
      <c r="D113" s="53" t="s">
        <v>184</v>
      </c>
      <c r="E113" s="24" t="s">
        <v>504</v>
      </c>
      <c r="F113" s="28">
        <f>IFERROR(VLOOKUP(E113,'[9]SAP Input-BS'!$A$5:$F$502,5,0),0)</f>
        <v>0</v>
      </c>
      <c r="G113" s="28">
        <f>IFERROR(VLOOKUP(E113,'[10]SAP Input-BS'!$A$5:$F$500,5,0),0)</f>
        <v>0</v>
      </c>
      <c r="H113" s="73">
        <f t="shared" si="1"/>
        <v>0</v>
      </c>
      <c r="I113" s="83"/>
      <c r="K113" s="28">
        <f>IFERROR(VLOOKUP(E113,'[11]SAP Input-BS'!$A$5:$E$500,5,0),0)</f>
        <v>0</v>
      </c>
      <c r="L113" s="28">
        <v>0</v>
      </c>
    </row>
    <row r="114" spans="1:12">
      <c r="A114" s="1" t="s">
        <v>486</v>
      </c>
      <c r="B114" s="1" t="s">
        <v>512</v>
      </c>
      <c r="D114" s="3" t="s">
        <v>505</v>
      </c>
      <c r="E114" s="6" t="s">
        <v>513</v>
      </c>
      <c r="F114" s="27">
        <f>IFERROR(VLOOKUP(E114,'[9]SAP Input-BS'!$A$5:$F$502,5,0),0)</f>
        <v>0</v>
      </c>
      <c r="G114" s="27">
        <f>IFERROR(VLOOKUP(E114,'[10]SAP Input-BS'!$A$5:$F$500,5,0),0)</f>
        <v>0</v>
      </c>
      <c r="H114" s="73">
        <f t="shared" si="1"/>
        <v>0</v>
      </c>
      <c r="I114" s="77"/>
      <c r="K114" s="27">
        <f>IFERROR(VLOOKUP(E114,'[11]SAP Input-BS'!$A$5:$E$500,5,0),0)</f>
        <v>0</v>
      </c>
      <c r="L114" s="27">
        <v>0</v>
      </c>
    </row>
    <row r="115" spans="1:12">
      <c r="A115" s="1" t="s">
        <v>486</v>
      </c>
      <c r="B115" s="1" t="s">
        <v>512</v>
      </c>
      <c r="D115" s="3" t="s">
        <v>506</v>
      </c>
      <c r="E115" s="6" t="s">
        <v>514</v>
      </c>
      <c r="F115" s="27">
        <f>IFERROR(VLOOKUP(E115,'[9]SAP Input-BS'!$A$5:$F$502,5,0),0)</f>
        <v>0</v>
      </c>
      <c r="G115" s="27">
        <f>IFERROR(VLOOKUP(E115,'[10]SAP Input-BS'!$A$5:$F$500,5,0),0)</f>
        <v>0</v>
      </c>
      <c r="H115" s="73">
        <f t="shared" si="1"/>
        <v>0</v>
      </c>
      <c r="I115" s="77"/>
      <c r="K115" s="27">
        <f>IFERROR(VLOOKUP(E115,'[11]SAP Input-BS'!$A$5:$E$500,5,0),0)</f>
        <v>0</v>
      </c>
      <c r="L115" s="27">
        <v>0</v>
      </c>
    </row>
    <row r="116" spans="1:12">
      <c r="A116" s="1" t="s">
        <v>486</v>
      </c>
      <c r="B116" s="1" t="s">
        <v>512</v>
      </c>
      <c r="D116" s="3" t="s">
        <v>507</v>
      </c>
      <c r="E116" s="6" t="s">
        <v>515</v>
      </c>
      <c r="F116" s="27">
        <f>IFERROR(VLOOKUP(E116,'[9]SAP Input-BS'!$A$5:$F$502,5,0),0)</f>
        <v>0</v>
      </c>
      <c r="G116" s="27">
        <f>IFERROR(VLOOKUP(E116,'[10]SAP Input-BS'!$A$5:$F$500,5,0),0)</f>
        <v>0</v>
      </c>
      <c r="H116" s="73">
        <f t="shared" si="1"/>
        <v>0</v>
      </c>
      <c r="I116" s="77"/>
      <c r="K116" s="27">
        <f>IFERROR(VLOOKUP(E116,'[11]SAP Input-BS'!$A$5:$E$500,5,0),0)</f>
        <v>0</v>
      </c>
      <c r="L116" s="27">
        <v>0</v>
      </c>
    </row>
    <row r="117" spans="1:12">
      <c r="A117" s="1" t="s">
        <v>486</v>
      </c>
      <c r="B117" s="1" t="s">
        <v>512</v>
      </c>
      <c r="D117" s="3" t="s">
        <v>508</v>
      </c>
      <c r="E117" s="6" t="s">
        <v>516</v>
      </c>
      <c r="F117" s="27">
        <f>IFERROR(VLOOKUP(E117,'[9]SAP Input-BS'!$A$5:$F$502,5,0),0)</f>
        <v>0</v>
      </c>
      <c r="G117" s="27">
        <f>IFERROR(VLOOKUP(E117,'[10]SAP Input-BS'!$A$5:$F$500,5,0),0)</f>
        <v>0</v>
      </c>
      <c r="H117" s="73">
        <f t="shared" si="1"/>
        <v>0</v>
      </c>
      <c r="I117" s="77"/>
      <c r="K117" s="27">
        <f>IFERROR(VLOOKUP(E117,'[11]SAP Input-BS'!$A$5:$E$500,5,0),0)</f>
        <v>0</v>
      </c>
      <c r="L117" s="27">
        <v>0</v>
      </c>
    </row>
    <row r="118" spans="1:12">
      <c r="A118" s="1" t="s">
        <v>486</v>
      </c>
      <c r="B118" s="1" t="s">
        <v>512</v>
      </c>
      <c r="D118" s="3" t="s">
        <v>509</v>
      </c>
      <c r="E118" s="6" t="s">
        <v>517</v>
      </c>
      <c r="F118" s="27">
        <f>IFERROR(VLOOKUP(E118,'[9]SAP Input-BS'!$A$5:$F$502,5,0),0)</f>
        <v>0</v>
      </c>
      <c r="G118" s="27">
        <f>IFERROR(VLOOKUP(E118,'[10]SAP Input-BS'!$A$5:$F$500,5,0),0)</f>
        <v>0</v>
      </c>
      <c r="H118" s="73">
        <f t="shared" si="1"/>
        <v>0</v>
      </c>
      <c r="I118" s="77"/>
      <c r="K118" s="27">
        <f>IFERROR(VLOOKUP(E118,'[11]SAP Input-BS'!$A$5:$E$500,5,0),0)</f>
        <v>0</v>
      </c>
      <c r="L118" s="27">
        <v>0</v>
      </c>
    </row>
    <row r="119" spans="1:12">
      <c r="A119" s="1" t="s">
        <v>486</v>
      </c>
      <c r="B119" s="1" t="s">
        <v>512</v>
      </c>
      <c r="D119" s="3" t="s">
        <v>510</v>
      </c>
      <c r="E119" s="6" t="s">
        <v>518</v>
      </c>
      <c r="F119" s="27">
        <f>IFERROR(VLOOKUP(E119,'[9]SAP Input-BS'!$A$5:$F$502,5,0),0)</f>
        <v>0</v>
      </c>
      <c r="G119" s="27">
        <f>IFERROR(VLOOKUP(E119,'[10]SAP Input-BS'!$A$5:$F$500,5,0),0)</f>
        <v>0</v>
      </c>
      <c r="H119" s="73">
        <f t="shared" si="1"/>
        <v>0</v>
      </c>
      <c r="I119" s="77"/>
      <c r="K119" s="27">
        <f>IFERROR(VLOOKUP(E119,'[11]SAP Input-BS'!$A$5:$E$500,5,0),0)</f>
        <v>0</v>
      </c>
      <c r="L119" s="27">
        <v>0</v>
      </c>
    </row>
    <row r="120" spans="1:12">
      <c r="A120" s="19" t="s">
        <v>486</v>
      </c>
      <c r="B120" s="19" t="s">
        <v>512</v>
      </c>
      <c r="C120" s="19"/>
      <c r="D120" s="53" t="s">
        <v>511</v>
      </c>
      <c r="E120" s="21" t="s">
        <v>519</v>
      </c>
      <c r="F120" s="28">
        <f>IFERROR(VLOOKUP(E120,'[9]SAP Input-BS'!$A$5:$F$502,5,0),0)</f>
        <v>0</v>
      </c>
      <c r="G120" s="28">
        <f>IFERROR(VLOOKUP(E120,'[10]SAP Input-BS'!$A$5:$F$500,5,0),0)</f>
        <v>0</v>
      </c>
      <c r="H120" s="73">
        <f t="shared" si="1"/>
        <v>0</v>
      </c>
      <c r="I120" s="83"/>
      <c r="K120" s="28">
        <f>IFERROR(VLOOKUP(E120,'[11]SAP Input-BS'!$A$5:$E$500,5,0),0)</f>
        <v>0</v>
      </c>
      <c r="L120" s="28">
        <v>0</v>
      </c>
    </row>
    <row r="121" spans="1:12">
      <c r="A121" s="1" t="s">
        <v>486</v>
      </c>
      <c r="B121" s="1" t="s">
        <v>520</v>
      </c>
      <c r="C121" s="1" t="s">
        <v>520</v>
      </c>
      <c r="D121" s="49" t="s">
        <v>520</v>
      </c>
      <c r="E121" s="8" t="s">
        <v>522</v>
      </c>
      <c r="F121" s="27">
        <f>IFERROR(VLOOKUP(E121,'[9]SAP Input-BS'!$A$5:$F$502,5,0),0)</f>
        <v>-7780226888.8100004</v>
      </c>
      <c r="G121" s="27">
        <f>IFERROR(VLOOKUP(E121,'[10]SAP Input-BS'!$A$5:$F$500,5,0),0)</f>
        <v>-7404677250.54</v>
      </c>
      <c r="H121" s="73">
        <f t="shared" si="1"/>
        <v>-375549638.27000046</v>
      </c>
      <c r="I121" s="77"/>
      <c r="K121" s="27">
        <f>IFERROR(VLOOKUP(E121,'[11]SAP Input-BS'!$A$5:$E$500,5,0),0)</f>
        <v>-8282791658</v>
      </c>
      <c r="L121" s="27">
        <v>-7703310272.9899998</v>
      </c>
    </row>
    <row r="122" spans="1:12">
      <c r="A122" s="19" t="s">
        <v>486</v>
      </c>
      <c r="B122" s="19" t="s">
        <v>520</v>
      </c>
      <c r="C122" s="19" t="s">
        <v>520</v>
      </c>
      <c r="D122" s="53" t="s">
        <v>521</v>
      </c>
      <c r="E122" s="21" t="s">
        <v>523</v>
      </c>
      <c r="F122" s="81">
        <f>IFERROR(VLOOKUP(E122,'[9]SAP Input-BS'!$A$5:$F$502,5,0),0)</f>
        <v>-7780226888.8100004</v>
      </c>
      <c r="G122" s="28">
        <f>IFERROR(VLOOKUP(E122,'[10]SAP Input-BS'!$A$5:$F$500,5,0),0)</f>
        <v>-7404677250.54</v>
      </c>
      <c r="H122" s="73">
        <f t="shared" si="1"/>
        <v>-375549638.27000046</v>
      </c>
      <c r="I122" s="83"/>
      <c r="K122" s="28">
        <f>IFERROR(VLOOKUP(E122,'[11]SAP Input-BS'!$A$5:$E$500,5,0),0)</f>
        <v>-8282791658</v>
      </c>
      <c r="L122" s="28">
        <v>-7703310272.9899998</v>
      </c>
    </row>
    <row r="123" spans="1:12">
      <c r="A123" s="1" t="s">
        <v>486</v>
      </c>
      <c r="B123" s="1" t="s">
        <v>533</v>
      </c>
      <c r="D123" s="3" t="s">
        <v>524</v>
      </c>
      <c r="E123" s="6" t="s">
        <v>534</v>
      </c>
      <c r="F123" s="27">
        <f>IFERROR(VLOOKUP(E123,'[9]SAP Input-BS'!$A$5:$F$502,5,0),0)</f>
        <v>-459175924</v>
      </c>
      <c r="G123" s="27">
        <f>IFERROR(VLOOKUP(E123,'[10]SAP Input-BS'!$A$5:$F$500,5,0),0)</f>
        <v>-461625454</v>
      </c>
      <c r="H123" s="73">
        <f t="shared" si="1"/>
        <v>2449530</v>
      </c>
      <c r="I123" s="77"/>
      <c r="K123" s="27">
        <f>IFERROR(VLOOKUP(E123,'[11]SAP Input-BS'!$A$5:$E$500,5,0),0)</f>
        <v>0</v>
      </c>
      <c r="L123" s="27">
        <v>0</v>
      </c>
    </row>
    <row r="124" spans="1:12">
      <c r="A124" s="1" t="s">
        <v>486</v>
      </c>
      <c r="B124" s="1" t="s">
        <v>533</v>
      </c>
      <c r="D124" s="3" t="s">
        <v>525</v>
      </c>
      <c r="E124" s="6" t="s">
        <v>535</v>
      </c>
      <c r="F124" s="27">
        <f>IFERROR(VLOOKUP(E124,'[9]SAP Input-BS'!$A$5:$F$502,5,0),0)</f>
        <v>0</v>
      </c>
      <c r="G124" s="27">
        <f>IFERROR(VLOOKUP(E124,'[10]SAP Input-BS'!$A$5:$F$500,5,0),0)</f>
        <v>0</v>
      </c>
      <c r="H124" s="73">
        <f t="shared" si="1"/>
        <v>0</v>
      </c>
      <c r="I124" s="77"/>
      <c r="K124" s="27">
        <f>IFERROR(VLOOKUP(E124,'[11]SAP Input-BS'!$A$5:$E$500,5,0),0)</f>
        <v>0</v>
      </c>
      <c r="L124" s="27">
        <v>0</v>
      </c>
    </row>
    <row r="125" spans="1:12">
      <c r="A125" s="1" t="s">
        <v>486</v>
      </c>
      <c r="B125" s="1" t="s">
        <v>533</v>
      </c>
      <c r="D125" s="3" t="s">
        <v>526</v>
      </c>
      <c r="E125" s="6" t="s">
        <v>536</v>
      </c>
      <c r="F125" s="27">
        <f>IFERROR(VLOOKUP(E125,'[9]SAP Input-BS'!$A$5:$F$502,5,0),0)</f>
        <v>0</v>
      </c>
      <c r="G125" s="27">
        <f>IFERROR(VLOOKUP(E125,'[10]SAP Input-BS'!$A$5:$F$500,5,0),0)</f>
        <v>0</v>
      </c>
      <c r="H125" s="73">
        <f t="shared" si="1"/>
        <v>0</v>
      </c>
      <c r="I125" s="77"/>
      <c r="K125" s="27">
        <f>IFERROR(VLOOKUP(E125,'[11]SAP Input-BS'!$A$5:$E$500,5,0),0)</f>
        <v>0</v>
      </c>
      <c r="L125" s="27">
        <v>0</v>
      </c>
    </row>
    <row r="126" spans="1:12">
      <c r="A126" s="1" t="s">
        <v>486</v>
      </c>
      <c r="B126" s="1" t="s">
        <v>533</v>
      </c>
      <c r="D126" s="3" t="s">
        <v>527</v>
      </c>
      <c r="E126" s="6" t="s">
        <v>537</v>
      </c>
      <c r="F126" s="27">
        <f>IFERROR(VLOOKUP(E126,'[9]SAP Input-BS'!$A$5:$F$502,5,0),0)</f>
        <v>0</v>
      </c>
      <c r="G126" s="27">
        <f>IFERROR(VLOOKUP(E126,'[10]SAP Input-BS'!$A$5:$F$500,5,0),0)</f>
        <v>0</v>
      </c>
      <c r="H126" s="73">
        <f t="shared" si="1"/>
        <v>0</v>
      </c>
      <c r="I126" s="77"/>
      <c r="K126" s="27">
        <f>IFERROR(VLOOKUP(E126,'[11]SAP Input-BS'!$A$5:$E$500,5,0),0)</f>
        <v>0</v>
      </c>
      <c r="L126" s="27">
        <v>0</v>
      </c>
    </row>
    <row r="127" spans="1:12">
      <c r="A127" s="1" t="s">
        <v>486</v>
      </c>
      <c r="B127" s="1" t="s">
        <v>533</v>
      </c>
      <c r="D127" s="3" t="s">
        <v>528</v>
      </c>
      <c r="E127" s="6" t="s">
        <v>538</v>
      </c>
      <c r="F127" s="27">
        <f>IFERROR(VLOOKUP(E127,'[9]SAP Input-BS'!$A$5:$F$502,5,0),0)</f>
        <v>0</v>
      </c>
      <c r="G127" s="27">
        <f>IFERROR(VLOOKUP(E127,'[10]SAP Input-BS'!$A$5:$F$500,5,0),0)</f>
        <v>0</v>
      </c>
      <c r="H127" s="73">
        <f t="shared" si="1"/>
        <v>0</v>
      </c>
      <c r="I127" s="77"/>
      <c r="K127" s="27">
        <f>IFERROR(VLOOKUP(E127,'[11]SAP Input-BS'!$A$5:$E$500,5,0),0)</f>
        <v>0</v>
      </c>
      <c r="L127" s="27">
        <v>0</v>
      </c>
    </row>
    <row r="128" spans="1:12">
      <c r="A128" s="1" t="s">
        <v>486</v>
      </c>
      <c r="B128" s="1" t="s">
        <v>533</v>
      </c>
      <c r="D128" s="3" t="s">
        <v>529</v>
      </c>
      <c r="E128" s="6" t="s">
        <v>539</v>
      </c>
      <c r="F128" s="27">
        <f>IFERROR(VLOOKUP(E128,'[9]SAP Input-BS'!$A$5:$F$502,5,0),0)</f>
        <v>0</v>
      </c>
      <c r="G128" s="27">
        <f>IFERROR(VLOOKUP(E128,'[10]SAP Input-BS'!$A$5:$F$500,5,0),0)</f>
        <v>0</v>
      </c>
      <c r="H128" s="73">
        <f t="shared" si="1"/>
        <v>0</v>
      </c>
      <c r="I128" s="77"/>
      <c r="K128" s="27">
        <f>IFERROR(VLOOKUP(E128,'[11]SAP Input-BS'!$A$5:$E$500,5,0),0)</f>
        <v>0</v>
      </c>
      <c r="L128" s="27">
        <v>0</v>
      </c>
    </row>
    <row r="129" spans="1:12">
      <c r="A129" s="1" t="s">
        <v>486</v>
      </c>
      <c r="B129" s="1" t="s">
        <v>533</v>
      </c>
      <c r="D129" s="3" t="s">
        <v>530</v>
      </c>
      <c r="E129" s="6" t="s">
        <v>540</v>
      </c>
      <c r="F129" s="27">
        <f>IFERROR(VLOOKUP(E129,'[9]SAP Input-BS'!$A$5:$F$502,5,0),0)</f>
        <v>0</v>
      </c>
      <c r="G129" s="27">
        <f>IFERROR(VLOOKUP(E129,'[10]SAP Input-BS'!$A$5:$F$500,5,0),0)</f>
        <v>0</v>
      </c>
      <c r="H129" s="73">
        <f t="shared" si="1"/>
        <v>0</v>
      </c>
      <c r="I129" s="77"/>
      <c r="K129" s="27">
        <f>IFERROR(VLOOKUP(E129,'[11]SAP Input-BS'!$A$5:$E$500,5,0),0)</f>
        <v>0</v>
      </c>
      <c r="L129" s="27">
        <v>0</v>
      </c>
    </row>
    <row r="130" spans="1:12">
      <c r="A130" s="1" t="s">
        <v>486</v>
      </c>
      <c r="B130" s="1" t="s">
        <v>533</v>
      </c>
      <c r="D130" s="3" t="s">
        <v>531</v>
      </c>
      <c r="E130" s="6" t="s">
        <v>541</v>
      </c>
      <c r="F130" s="27">
        <f>IFERROR(VLOOKUP(E130,'[9]SAP Input-BS'!$A$5:$F$502,5,0),0)</f>
        <v>0</v>
      </c>
      <c r="G130" s="27">
        <f>IFERROR(VLOOKUP(E130,'[10]SAP Input-BS'!$A$5:$F$500,5,0),0)</f>
        <v>0</v>
      </c>
      <c r="H130" s="73">
        <f t="shared" si="1"/>
        <v>0</v>
      </c>
      <c r="I130" s="77"/>
      <c r="K130" s="27">
        <f>IFERROR(VLOOKUP(E130,'[11]SAP Input-BS'!$A$5:$E$500,5,0),0)</f>
        <v>0</v>
      </c>
      <c r="L130" s="27">
        <v>0</v>
      </c>
    </row>
    <row r="131" spans="1:12">
      <c r="A131" s="19" t="s">
        <v>486</v>
      </c>
      <c r="B131" s="19" t="s">
        <v>533</v>
      </c>
      <c r="C131" s="19"/>
      <c r="D131" s="53" t="s">
        <v>532</v>
      </c>
      <c r="E131" s="21" t="s">
        <v>542</v>
      </c>
      <c r="F131" s="81">
        <f>IFERROR(VLOOKUP(E131,'[9]SAP Input-BS'!$A$5:$F$502,5,0),0)</f>
        <v>-459175924</v>
      </c>
      <c r="G131" s="28">
        <f>IFERROR(VLOOKUP(E131,'[10]SAP Input-BS'!$A$5:$F$500,5,0),0)</f>
        <v>-461625454</v>
      </c>
      <c r="H131" s="73">
        <f t="shared" ref="H131:H164" si="2">F131-G131</f>
        <v>2449530</v>
      </c>
      <c r="I131" s="83"/>
      <c r="K131" s="28">
        <f>IFERROR(VLOOKUP(E131,'[11]SAP Input-BS'!$A$5:$E$500,5,0),0)</f>
        <v>0</v>
      </c>
      <c r="L131" s="28">
        <v>0</v>
      </c>
    </row>
    <row r="132" spans="1:12">
      <c r="A132" s="1" t="s">
        <v>486</v>
      </c>
      <c r="B132" s="1" t="s">
        <v>551</v>
      </c>
      <c r="D132" s="3" t="s">
        <v>543</v>
      </c>
      <c r="E132" s="6" t="s">
        <v>552</v>
      </c>
      <c r="F132" s="27">
        <f>IFERROR(VLOOKUP(E132,'[9]SAP Input-BS'!$A$5:$F$502,5,0),0)</f>
        <v>0</v>
      </c>
      <c r="G132" s="27">
        <f>IFERROR(VLOOKUP(E132,'[10]SAP Input-BS'!$A$5:$F$500,5,0),0)</f>
        <v>0</v>
      </c>
      <c r="H132" s="73">
        <f t="shared" si="2"/>
        <v>0</v>
      </c>
      <c r="I132" s="77"/>
      <c r="K132" s="27">
        <f>IFERROR(VLOOKUP(E132,'[11]SAP Input-BS'!$A$5:$E$500,5,0),0)</f>
        <v>0</v>
      </c>
      <c r="L132" s="27">
        <v>0</v>
      </c>
    </row>
    <row r="133" spans="1:12">
      <c r="A133" s="1" t="s">
        <v>486</v>
      </c>
      <c r="B133" s="1" t="s">
        <v>551</v>
      </c>
      <c r="D133" s="3" t="s">
        <v>544</v>
      </c>
      <c r="E133" s="6" t="s">
        <v>553</v>
      </c>
      <c r="F133" s="27">
        <f>IFERROR(VLOOKUP(E133,'[9]SAP Input-BS'!$A$5:$F$502,5,0),0)</f>
        <v>0</v>
      </c>
      <c r="G133" s="27">
        <f>IFERROR(VLOOKUP(E133,'[10]SAP Input-BS'!$A$5:$F$500,5,0),0)</f>
        <v>0</v>
      </c>
      <c r="H133" s="73">
        <f t="shared" si="2"/>
        <v>0</v>
      </c>
      <c r="I133" s="77"/>
      <c r="K133" s="27">
        <f>IFERROR(VLOOKUP(E133,'[11]SAP Input-BS'!$A$5:$E$500,5,0),0)</f>
        <v>0</v>
      </c>
      <c r="L133" s="27">
        <v>0</v>
      </c>
    </row>
    <row r="134" spans="1:12">
      <c r="A134" s="1" t="s">
        <v>486</v>
      </c>
      <c r="B134" s="1" t="s">
        <v>551</v>
      </c>
      <c r="D134" s="3" t="s">
        <v>545</v>
      </c>
      <c r="E134" s="6" t="s">
        <v>554</v>
      </c>
      <c r="F134" s="27">
        <f>IFERROR(VLOOKUP(E134,'[9]SAP Input-BS'!$A$5:$F$502,5,0),0)</f>
        <v>0</v>
      </c>
      <c r="G134" s="27">
        <f>IFERROR(VLOOKUP(E134,'[10]SAP Input-BS'!$A$5:$F$500,5,0),0)</f>
        <v>0</v>
      </c>
      <c r="H134" s="73">
        <f t="shared" si="2"/>
        <v>0</v>
      </c>
      <c r="I134" s="77"/>
      <c r="K134" s="27">
        <f>IFERROR(VLOOKUP(E134,'[11]SAP Input-BS'!$A$5:$E$500,5,0),0)</f>
        <v>0</v>
      </c>
      <c r="L134" s="27">
        <v>0</v>
      </c>
    </row>
    <row r="135" spans="1:12">
      <c r="A135" s="1" t="s">
        <v>486</v>
      </c>
      <c r="B135" s="1" t="s">
        <v>551</v>
      </c>
      <c r="D135" s="3" t="s">
        <v>546</v>
      </c>
      <c r="E135" s="6" t="s">
        <v>555</v>
      </c>
      <c r="F135" s="27">
        <f>IFERROR(VLOOKUP(E135,'[9]SAP Input-BS'!$A$5:$F$502,5,0),0)</f>
        <v>0</v>
      </c>
      <c r="G135" s="27">
        <f>IFERROR(VLOOKUP(E135,'[10]SAP Input-BS'!$A$5:$F$500,5,0),0)</f>
        <v>0</v>
      </c>
      <c r="H135" s="73">
        <f t="shared" si="2"/>
        <v>0</v>
      </c>
      <c r="I135" s="77"/>
      <c r="K135" s="27">
        <f>IFERROR(VLOOKUP(E135,'[11]SAP Input-BS'!$A$5:$E$500,5,0),0)</f>
        <v>0</v>
      </c>
      <c r="L135" s="27">
        <v>0</v>
      </c>
    </row>
    <row r="136" spans="1:12">
      <c r="A136" s="1" t="s">
        <v>486</v>
      </c>
      <c r="B136" s="1" t="s">
        <v>551</v>
      </c>
      <c r="D136" s="11" t="s">
        <v>547</v>
      </c>
      <c r="E136" s="6" t="s">
        <v>556</v>
      </c>
      <c r="F136" s="63">
        <f>IFERROR(VLOOKUP(E136,'[9]SAP Input-BS'!$A$5:$F$502,5,0),0)</f>
        <v>-47441099</v>
      </c>
      <c r="G136" s="63">
        <f>IFERROR(VLOOKUP(E136,'[10]SAP Input-BS'!$A$5:$F$500,5,0),0)</f>
        <v>-227561100</v>
      </c>
      <c r="H136" s="75">
        <f t="shared" si="2"/>
        <v>180120001</v>
      </c>
      <c r="I136" s="77"/>
      <c r="K136" s="27">
        <f>IFERROR(VLOOKUP(E136,'[11]SAP Input-BS'!$A$5:$E$500,5,0),0)</f>
        <v>-227971522</v>
      </c>
      <c r="L136" s="27">
        <v>-227688916.59</v>
      </c>
    </row>
    <row r="137" spans="1:12">
      <c r="A137" s="1" t="s">
        <v>486</v>
      </c>
      <c r="B137" s="1" t="s">
        <v>551</v>
      </c>
      <c r="D137" s="3" t="s">
        <v>235</v>
      </c>
      <c r="E137" s="6" t="s">
        <v>557</v>
      </c>
      <c r="F137" s="27">
        <f>IFERROR(VLOOKUP(E137,'[9]SAP Input-BS'!$A$5:$F$502,5,0),0)</f>
        <v>0</v>
      </c>
      <c r="G137" s="27">
        <f>IFERROR(VLOOKUP(E137,'[10]SAP Input-BS'!$A$5:$F$500,5,0),0)</f>
        <v>0</v>
      </c>
      <c r="H137" s="73">
        <f t="shared" si="2"/>
        <v>0</v>
      </c>
      <c r="I137" s="77"/>
      <c r="K137" s="27">
        <f>IFERROR(VLOOKUP(E137,'[11]SAP Input-BS'!$A$5:$E$500,5,0),0)</f>
        <v>0</v>
      </c>
      <c r="L137" s="27">
        <v>0</v>
      </c>
    </row>
    <row r="138" spans="1:12">
      <c r="A138" s="1" t="s">
        <v>486</v>
      </c>
      <c r="B138" s="1" t="s">
        <v>551</v>
      </c>
      <c r="D138" s="3" t="s">
        <v>548</v>
      </c>
      <c r="E138" s="6" t="s">
        <v>558</v>
      </c>
      <c r="F138" s="27">
        <f>IFERROR(VLOOKUP(E138,'[9]SAP Input-BS'!$A$5:$F$502,5,0),0)</f>
        <v>0</v>
      </c>
      <c r="G138" s="27">
        <f>IFERROR(VLOOKUP(E138,'[10]SAP Input-BS'!$A$5:$F$500,5,0),0)</f>
        <v>0</v>
      </c>
      <c r="H138" s="73">
        <f t="shared" si="2"/>
        <v>0</v>
      </c>
      <c r="I138" s="77"/>
      <c r="K138" s="27">
        <f>IFERROR(VLOOKUP(E138,'[11]SAP Input-BS'!$A$5:$E$500,5,0),0)</f>
        <v>0</v>
      </c>
      <c r="L138" s="27">
        <v>0</v>
      </c>
    </row>
    <row r="139" spans="1:12">
      <c r="A139" s="1" t="s">
        <v>486</v>
      </c>
      <c r="B139" s="1" t="s">
        <v>551</v>
      </c>
      <c r="D139" s="3" t="s">
        <v>549</v>
      </c>
      <c r="E139" s="6" t="s">
        <v>559</v>
      </c>
      <c r="F139" s="27">
        <f>IFERROR(VLOOKUP(E139,'[9]SAP Input-BS'!$A$5:$F$502,5,0),0)</f>
        <v>0</v>
      </c>
      <c r="G139" s="27">
        <f>IFERROR(VLOOKUP(E139,'[10]SAP Input-BS'!$A$5:$F$500,5,0),0)</f>
        <v>0</v>
      </c>
      <c r="H139" s="73">
        <f t="shared" si="2"/>
        <v>0</v>
      </c>
      <c r="I139" s="77"/>
      <c r="K139" s="27">
        <f>IFERROR(VLOOKUP(E139,'[11]SAP Input-BS'!$A$5:$E$500,5,0),0)</f>
        <v>0</v>
      </c>
      <c r="L139" s="27">
        <v>0</v>
      </c>
    </row>
    <row r="140" spans="1:12">
      <c r="A140" s="19" t="s">
        <v>486</v>
      </c>
      <c r="B140" s="19" t="s">
        <v>551</v>
      </c>
      <c r="C140" s="19"/>
      <c r="D140" s="53" t="s">
        <v>550</v>
      </c>
      <c r="E140" s="21" t="s">
        <v>560</v>
      </c>
      <c r="F140" s="28">
        <f>IFERROR(VLOOKUP(E140,'[9]SAP Input-BS'!$A$5:$F$502,5,0),0)</f>
        <v>-47441099</v>
      </c>
      <c r="G140" s="28">
        <f>IFERROR(VLOOKUP(E140,'[10]SAP Input-BS'!$A$5:$F$500,5,0),0)</f>
        <v>-227561100</v>
      </c>
      <c r="H140" s="73">
        <f t="shared" si="2"/>
        <v>180120001</v>
      </c>
      <c r="I140" s="83"/>
      <c r="K140" s="28">
        <f>IFERROR(VLOOKUP(E140,'[11]SAP Input-BS'!$A$5:$E$500,5,0),0)</f>
        <v>-227971522</v>
      </c>
      <c r="L140" s="28">
        <v>-227688916.59</v>
      </c>
    </row>
    <row r="141" spans="1:12">
      <c r="A141" s="1" t="s">
        <v>486</v>
      </c>
      <c r="B141" s="1" t="s">
        <v>563</v>
      </c>
      <c r="D141" s="68" t="s">
        <v>561</v>
      </c>
      <c r="E141" s="69" t="s">
        <v>564</v>
      </c>
      <c r="F141" s="63">
        <f>IFERROR(VLOOKUP(E141,'[9]SAP Input-BS'!$A$5:$F$502,5,0),0)</f>
        <v>-0.18000000715255737</v>
      </c>
      <c r="G141" s="27">
        <f>IFERROR(VLOOKUP(E141,'[10]SAP Input-BS'!$A$5:$F$500,5,0),0)</f>
        <v>1659765346.8199999</v>
      </c>
      <c r="H141" s="73">
        <f t="shared" si="2"/>
        <v>-1659765347</v>
      </c>
      <c r="I141" s="77"/>
      <c r="K141" s="27">
        <f>IFERROR(VLOOKUP(E141,'[11]SAP Input-BS'!$A$5:$E$500,5,0),0)</f>
        <v>-6407654301.9300003</v>
      </c>
      <c r="L141" s="27">
        <v>0.82</v>
      </c>
    </row>
    <row r="142" spans="1:12">
      <c r="A142" s="19" t="s">
        <v>486</v>
      </c>
      <c r="B142" s="19" t="s">
        <v>563</v>
      </c>
      <c r="C142" s="19"/>
      <c r="D142" s="53" t="s">
        <v>562</v>
      </c>
      <c r="E142" s="21" t="s">
        <v>565</v>
      </c>
      <c r="F142" s="28">
        <f>IFERROR(VLOOKUP(E142,'[9]SAP Input-BS'!$A$5:$F$502,5,0),0)</f>
        <v>-0.18000000715255737</v>
      </c>
      <c r="G142" s="28">
        <f>IFERROR(VLOOKUP(E142,'[10]SAP Input-BS'!$A$5:$F$500,5,0),0)</f>
        <v>1659765346.8199999</v>
      </c>
      <c r="H142" s="73">
        <f t="shared" si="2"/>
        <v>-1659765347</v>
      </c>
      <c r="I142" s="83"/>
      <c r="K142" s="28">
        <f>IFERROR(VLOOKUP(E142,'[11]SAP Input-BS'!$A$5:$E$500,5,0),0)</f>
        <v>-6407654301.9300003</v>
      </c>
      <c r="L142" s="28">
        <v>0.82</v>
      </c>
    </row>
    <row r="143" spans="1:12">
      <c r="A143" s="1" t="s">
        <v>486</v>
      </c>
      <c r="B143" s="1" t="s">
        <v>570</v>
      </c>
      <c r="D143" s="37" t="s">
        <v>566</v>
      </c>
      <c r="E143" s="6" t="s">
        <v>571</v>
      </c>
      <c r="F143" s="27">
        <f>IFERROR(VLOOKUP(E143,'[9]SAP Input-BS'!$A$5:$F$502,5,0),0)</f>
        <v>-1.4</v>
      </c>
      <c r="G143" s="27">
        <f>IFERROR(VLOOKUP(E143,'[10]SAP Input-BS'!$A$5:$F$500,5,0),0)</f>
        <v>0.6</v>
      </c>
      <c r="H143" s="73">
        <f t="shared" si="2"/>
        <v>-2</v>
      </c>
      <c r="I143" s="77"/>
      <c r="K143" s="27">
        <f>IFERROR(VLOOKUP(E143,'[11]SAP Input-BS'!$A$5:$E$500,5,0),0)</f>
        <v>0.44</v>
      </c>
      <c r="L143" s="27">
        <v>0.44</v>
      </c>
    </row>
    <row r="144" spans="1:12">
      <c r="A144" s="1" t="s">
        <v>486</v>
      </c>
      <c r="B144" s="1" t="s">
        <v>570</v>
      </c>
      <c r="D144" s="37" t="s">
        <v>567</v>
      </c>
      <c r="E144" s="6" t="s">
        <v>572</v>
      </c>
      <c r="F144" s="27">
        <f>IFERROR(VLOOKUP(E144,'[9]SAP Input-BS'!$A$5:$F$502,5,0),0)</f>
        <v>0</v>
      </c>
      <c r="G144" s="27">
        <f>IFERROR(VLOOKUP(E144,'[10]SAP Input-BS'!$A$5:$F$500,5,0),0)</f>
        <v>0</v>
      </c>
      <c r="H144" s="73">
        <f t="shared" si="2"/>
        <v>0</v>
      </c>
      <c r="I144" s="77"/>
      <c r="K144" s="27">
        <f>IFERROR(VLOOKUP(E144,'[11]SAP Input-BS'!$A$5:$E$500,5,0),0)</f>
        <v>0</v>
      </c>
      <c r="L144" s="27">
        <v>0</v>
      </c>
    </row>
    <row r="145" spans="1:12">
      <c r="A145" s="1" t="s">
        <v>486</v>
      </c>
      <c r="B145" s="1" t="s">
        <v>570</v>
      </c>
      <c r="D145" s="38" t="s">
        <v>568</v>
      </c>
      <c r="E145" s="6" t="s">
        <v>573</v>
      </c>
      <c r="F145" s="27">
        <f>IFERROR(VLOOKUP(E145,'[9]SAP Input-BS'!$A$5:$F$502,5,0),0)</f>
        <v>0</v>
      </c>
      <c r="G145" s="27">
        <f>IFERROR(VLOOKUP(E145,'[10]SAP Input-BS'!$A$5:$F$500,5,0),0)</f>
        <v>0</v>
      </c>
      <c r="H145" s="73">
        <f t="shared" si="2"/>
        <v>0</v>
      </c>
      <c r="I145" s="77"/>
      <c r="K145" s="27">
        <f>IFERROR(VLOOKUP(E145,'[11]SAP Input-BS'!$A$5:$E$500,5,0),0)</f>
        <v>0</v>
      </c>
      <c r="L145" s="27">
        <v>0</v>
      </c>
    </row>
    <row r="146" spans="1:12">
      <c r="A146" s="19" t="s">
        <v>486</v>
      </c>
      <c r="B146" s="19" t="s">
        <v>570</v>
      </c>
      <c r="C146" s="19"/>
      <c r="D146" s="53" t="s">
        <v>569</v>
      </c>
      <c r="E146" s="21" t="s">
        <v>574</v>
      </c>
      <c r="F146" s="28">
        <f>IFERROR(VLOOKUP(E146,'[9]SAP Input-BS'!$A$5:$F$502,5,0),0)</f>
        <v>-1.4</v>
      </c>
      <c r="G146" s="28">
        <f>IFERROR(VLOOKUP(E146,'[10]SAP Input-BS'!$A$5:$F$500,5,0),0)</f>
        <v>0.6</v>
      </c>
      <c r="H146" s="73">
        <f t="shared" si="2"/>
        <v>-2</v>
      </c>
      <c r="I146" s="83"/>
      <c r="K146" s="28">
        <f>IFERROR(VLOOKUP(E146,'[11]SAP Input-BS'!$A$5:$E$500,5,0),0)</f>
        <v>0.44</v>
      </c>
      <c r="L146" s="28">
        <v>0.44</v>
      </c>
    </row>
    <row r="147" spans="1:12">
      <c r="A147" s="1" t="s">
        <v>486</v>
      </c>
      <c r="B147" s="1" t="s">
        <v>580</v>
      </c>
      <c r="D147" s="3" t="s">
        <v>575</v>
      </c>
      <c r="E147" s="6" t="s">
        <v>581</v>
      </c>
      <c r="F147" s="27">
        <f>IFERROR(VLOOKUP(E147,'[9]SAP Input-BS'!$A$5:$F$502,5,0),0)</f>
        <v>0</v>
      </c>
      <c r="G147" s="27">
        <f>IFERROR(VLOOKUP(E147,'[10]SAP Input-BS'!$A$5:$F$500,5,0),0)</f>
        <v>0</v>
      </c>
      <c r="H147" s="73">
        <f t="shared" si="2"/>
        <v>0</v>
      </c>
      <c r="I147" s="77"/>
      <c r="K147" s="27">
        <f>IFERROR(VLOOKUP(E147,'[11]SAP Input-BS'!$A$5:$E$500,5,0),0)</f>
        <v>0</v>
      </c>
      <c r="L147" s="27">
        <v>0</v>
      </c>
    </row>
    <row r="148" spans="1:12">
      <c r="A148" s="1" t="s">
        <v>486</v>
      </c>
      <c r="B148" s="1" t="s">
        <v>580</v>
      </c>
      <c r="D148" s="3" t="s">
        <v>576</v>
      </c>
      <c r="E148" s="6" t="s">
        <v>582</v>
      </c>
      <c r="F148" s="71">
        <f>IFERROR(VLOOKUP(E148,'[9]SAP Input-BS'!$A$5:$F$502,5,0),0)</f>
        <v>-6589064931.3500004</v>
      </c>
      <c r="G148" s="27">
        <f>IFERROR(VLOOKUP(E148,'[10]SAP Input-BS'!$A$5:$F$500,5,0),0)</f>
        <v>-6659367764.3500004</v>
      </c>
      <c r="H148" s="73">
        <f t="shared" si="2"/>
        <v>70302833</v>
      </c>
      <c r="I148" s="77"/>
      <c r="K148" s="27">
        <f>IFERROR(VLOOKUP(E148,'[11]SAP Input-BS'!$A$5:$E$500,5,0),0)</f>
        <v>-8605233452.9799995</v>
      </c>
      <c r="L148" s="27">
        <v>-6127340914.3500004</v>
      </c>
    </row>
    <row r="149" spans="1:12">
      <c r="A149" s="1" t="s">
        <v>486</v>
      </c>
      <c r="B149" s="1" t="s">
        <v>580</v>
      </c>
      <c r="D149" s="3" t="s">
        <v>577</v>
      </c>
      <c r="E149" s="6" t="s">
        <v>583</v>
      </c>
      <c r="F149" s="27">
        <f>IFERROR(VLOOKUP(E149,'[9]SAP Input-BS'!$A$5:$F$502,5,0),0)</f>
        <v>0</v>
      </c>
      <c r="G149" s="27">
        <f>IFERROR(VLOOKUP(E149,'[10]SAP Input-BS'!$A$5:$F$500,5,0),0)</f>
        <v>0</v>
      </c>
      <c r="H149" s="73">
        <f t="shared" si="2"/>
        <v>0</v>
      </c>
      <c r="I149" s="77"/>
      <c r="K149" s="27">
        <f>IFERROR(VLOOKUP(E149,'[11]SAP Input-BS'!$A$5:$E$500,5,0),0)</f>
        <v>0</v>
      </c>
      <c r="L149" s="27">
        <v>0</v>
      </c>
    </row>
    <row r="150" spans="1:12">
      <c r="A150" s="1" t="s">
        <v>486</v>
      </c>
      <c r="B150" s="1" t="s">
        <v>580</v>
      </c>
      <c r="D150" s="3" t="s">
        <v>578</v>
      </c>
      <c r="E150" s="6" t="s">
        <v>584</v>
      </c>
      <c r="F150" s="27">
        <f>IFERROR(VLOOKUP(E150,'[9]SAP Input-BS'!$A$5:$F$502,5,0),0)</f>
        <v>0</v>
      </c>
      <c r="G150" s="27">
        <f>IFERROR(VLOOKUP(E150,'[10]SAP Input-BS'!$A$5:$F$500,5,0),0)</f>
        <v>0</v>
      </c>
      <c r="H150" s="73">
        <f t="shared" si="2"/>
        <v>0</v>
      </c>
      <c r="I150" s="77"/>
      <c r="K150" s="27">
        <f>IFERROR(VLOOKUP(E150,'[11]SAP Input-BS'!$A$5:$E$500,5,0),0)</f>
        <v>0</v>
      </c>
      <c r="L150" s="27">
        <v>0</v>
      </c>
    </row>
    <row r="151" spans="1:12">
      <c r="A151" s="19" t="s">
        <v>486</v>
      </c>
      <c r="B151" s="19" t="s">
        <v>580</v>
      </c>
      <c r="C151" s="19"/>
      <c r="D151" s="53" t="s">
        <v>579</v>
      </c>
      <c r="E151" s="21" t="s">
        <v>585</v>
      </c>
      <c r="F151" s="79">
        <f>IFERROR(VLOOKUP(E151,'[9]SAP Input-BS'!$A$5:$F$502,5,0),0)</f>
        <v>-6589064931.3500004</v>
      </c>
      <c r="G151" s="28">
        <f>IFERROR(VLOOKUP(E151,'[10]SAP Input-BS'!$A$5:$F$500,5,0),0)</f>
        <v>-6659367764.3500004</v>
      </c>
      <c r="H151" s="73">
        <f t="shared" si="2"/>
        <v>70302833</v>
      </c>
      <c r="I151" s="83"/>
      <c r="K151" s="28">
        <f>IFERROR(VLOOKUP(E151,'[11]SAP Input-BS'!$A$5:$E$500,5,0),0)</f>
        <v>-8605233452.9799995</v>
      </c>
      <c r="L151" s="28">
        <v>-6127340914.3500004</v>
      </c>
    </row>
    <row r="152" spans="1:12">
      <c r="A152" s="1" t="s">
        <v>486</v>
      </c>
      <c r="B152" s="1" t="s">
        <v>586</v>
      </c>
      <c r="D152" s="49" t="s">
        <v>586</v>
      </c>
      <c r="E152" s="6" t="s">
        <v>588</v>
      </c>
      <c r="F152" s="27">
        <f>IFERROR(VLOOKUP(E152,'[9]SAP Input-BS'!$A$5:$F$502,5,0),0)</f>
        <v>0</v>
      </c>
      <c r="G152" s="27">
        <f>IFERROR(VLOOKUP(E152,'[10]SAP Input-BS'!$A$5:$F$500,5,0),0)</f>
        <v>0</v>
      </c>
      <c r="H152" s="73">
        <f t="shared" si="2"/>
        <v>0</v>
      </c>
      <c r="I152" s="77"/>
      <c r="K152" s="27">
        <f>IFERROR(VLOOKUP(E152,'[11]SAP Input-BS'!$A$5:$E$500,5,0),0)</f>
        <v>0</v>
      </c>
      <c r="L152" s="27">
        <v>0</v>
      </c>
    </row>
    <row r="153" spans="1:12">
      <c r="A153" s="19" t="s">
        <v>486</v>
      </c>
      <c r="B153" s="19" t="s">
        <v>586</v>
      </c>
      <c r="C153" s="19"/>
      <c r="D153" s="53" t="s">
        <v>587</v>
      </c>
      <c r="E153" s="21" t="s">
        <v>589</v>
      </c>
      <c r="F153" s="28">
        <f>IFERROR(VLOOKUP(E153,'[9]SAP Input-BS'!$A$5:$F$502,5,0),0)</f>
        <v>0</v>
      </c>
      <c r="G153" s="28">
        <f>IFERROR(VLOOKUP(E153,'[10]SAP Input-BS'!$A$5:$F$500,5,0),0)</f>
        <v>0</v>
      </c>
      <c r="H153" s="73">
        <f t="shared" si="2"/>
        <v>0</v>
      </c>
      <c r="I153" s="83"/>
      <c r="K153" s="28">
        <f>IFERROR(VLOOKUP(E153,'[11]SAP Input-BS'!$A$5:$E$500,5,0),0)</f>
        <v>0</v>
      </c>
      <c r="L153" s="28">
        <v>0</v>
      </c>
    </row>
    <row r="154" spans="1:12">
      <c r="A154" s="41" t="s">
        <v>486</v>
      </c>
      <c r="B154" s="42" t="s">
        <v>591</v>
      </c>
      <c r="C154" s="42" t="s">
        <v>591</v>
      </c>
      <c r="D154" s="54" t="s">
        <v>590</v>
      </c>
      <c r="E154" s="55" t="s">
        <v>592</v>
      </c>
      <c r="F154" s="56">
        <f>IFERROR(VLOOKUP(E154,'[9]SAP Input-BS'!$A$5:$F$502,5,0),0)</f>
        <v>-14875908844.74</v>
      </c>
      <c r="G154" s="56">
        <f>IFERROR(VLOOKUP(E154,'[10]SAP Input-BS'!$A$5:$F$500,5,0),0)</f>
        <v>-13093466221.469999</v>
      </c>
      <c r="H154" s="73">
        <f t="shared" si="2"/>
        <v>-1782442623.2700005</v>
      </c>
      <c r="I154" s="84"/>
      <c r="K154" s="56">
        <f>IFERROR(VLOOKUP(E154,'[11]SAP Input-BS'!$A$5:$E$500,5,0),0)</f>
        <v>-23523650934.470001</v>
      </c>
      <c r="L154" s="56">
        <v>-14058340102.67</v>
      </c>
    </row>
    <row r="155" spans="1:12">
      <c r="A155" s="1"/>
      <c r="B155" s="1"/>
      <c r="C155" s="1"/>
      <c r="E155"/>
      <c r="F155" s="27">
        <f>IFERROR(VLOOKUP(E155,'[9]SAP Input-BS'!$A$5:$F$502,5,0),0)</f>
        <v>0</v>
      </c>
      <c r="G155" s="27">
        <f>IFERROR(VLOOKUP(E155,'[10]SAP Input-BS'!$A$5:$F$500,5,0),0)</f>
        <v>0</v>
      </c>
      <c r="H155" s="73">
        <f t="shared" si="2"/>
        <v>0</v>
      </c>
      <c r="I155" s="77"/>
      <c r="K155" s="27">
        <f>IFERROR(VLOOKUP(G155,'[12]SAP Input-BS'!$A$5:$E$500,5,0),0)</f>
        <v>0</v>
      </c>
      <c r="L155" s="27">
        <v>0</v>
      </c>
    </row>
    <row r="156" spans="1:12">
      <c r="A156" s="1" t="s">
        <v>594</v>
      </c>
      <c r="B156" s="1" t="s">
        <v>594</v>
      </c>
      <c r="D156" s="3" t="s">
        <v>595</v>
      </c>
      <c r="E156" s="50" t="s">
        <v>600</v>
      </c>
      <c r="F156" s="27">
        <f>IFERROR(VLOOKUP(E156,'[9]SAP Input-BS'!$A$5:$F$502,5,0),0)</f>
        <v>-41597800</v>
      </c>
      <c r="G156" s="27">
        <f>IFERROR(VLOOKUP(E156,'[10]SAP Input-BS'!$A$5:$F$500,5,0),0)</f>
        <v>-41597800</v>
      </c>
      <c r="H156" s="73">
        <f t="shared" si="2"/>
        <v>0</v>
      </c>
      <c r="I156" s="77"/>
      <c r="K156" s="27">
        <f>IFERROR(VLOOKUP(E156,'[11]SAP Input-BS'!$A$5:$E$500,5,0),0)</f>
        <v>-41597800</v>
      </c>
      <c r="L156" s="27">
        <v>-41597800</v>
      </c>
    </row>
    <row r="157" spans="1:12">
      <c r="A157" s="1" t="s">
        <v>594</v>
      </c>
      <c r="B157" s="1" t="s">
        <v>594</v>
      </c>
      <c r="D157" s="3" t="s">
        <v>596</v>
      </c>
      <c r="E157" s="6" t="s">
        <v>601</v>
      </c>
      <c r="F157" s="27">
        <f>IFERROR(VLOOKUP(E157,'[9]SAP Input-BS'!$A$5:$F$502,5,0),0)</f>
        <v>0</v>
      </c>
      <c r="G157" s="27">
        <f>IFERROR(VLOOKUP(E157,'[10]SAP Input-BS'!$A$5:$F$500,5,0),0)</f>
        <v>0</v>
      </c>
      <c r="H157" s="73">
        <f t="shared" si="2"/>
        <v>0</v>
      </c>
      <c r="I157" s="77"/>
      <c r="K157" s="27">
        <f>IFERROR(VLOOKUP(E157,'[11]SAP Input-BS'!$A$5:$E$500,5,0),0)</f>
        <v>0</v>
      </c>
      <c r="L157" s="27">
        <v>0</v>
      </c>
    </row>
    <row r="158" spans="1:12">
      <c r="A158" s="19" t="s">
        <v>594</v>
      </c>
      <c r="B158" s="19" t="s">
        <v>594</v>
      </c>
      <c r="C158" s="19"/>
      <c r="D158" s="53" t="s">
        <v>597</v>
      </c>
      <c r="E158" s="24" t="s">
        <v>602</v>
      </c>
      <c r="F158" s="28">
        <f>IFERROR(VLOOKUP(E158,'[9]SAP Input-BS'!$A$5:$F$502,5,0),0)</f>
        <v>-52863789614.620003</v>
      </c>
      <c r="G158" s="28">
        <f>IFERROR(VLOOKUP(E158,'[10]SAP Input-BS'!$A$5:$F$500,5,0),0)</f>
        <v>-57953581951.980003</v>
      </c>
      <c r="H158" s="73">
        <f t="shared" si="2"/>
        <v>5089792337.3600006</v>
      </c>
      <c r="I158" s="83"/>
      <c r="K158" s="28">
        <f>IFERROR(VLOOKUP(E158,'[11]SAP Input-BS'!$A$5:$E$500,5,0),0)</f>
        <v>-44383639944.410004</v>
      </c>
      <c r="L158" s="28">
        <v>-53566751493.709999</v>
      </c>
    </row>
    <row r="159" spans="1:12">
      <c r="A159" s="1" t="s">
        <v>594</v>
      </c>
      <c r="B159" s="1" t="s">
        <v>594</v>
      </c>
      <c r="D159" s="3" t="s">
        <v>598</v>
      </c>
      <c r="E159" s="6" t="s">
        <v>603</v>
      </c>
      <c r="F159" s="27">
        <f>IFERROR(VLOOKUP(E159,'[9]SAP Input-BS'!$A$5:$F$502,5,0),0)</f>
        <v>0</v>
      </c>
      <c r="G159" s="27">
        <f>IFERROR(VLOOKUP(E159,'[10]SAP Input-BS'!$A$5:$F$500,5,0),0)</f>
        <v>0</v>
      </c>
      <c r="H159" s="73">
        <f t="shared" si="2"/>
        <v>0</v>
      </c>
      <c r="I159" s="77"/>
      <c r="K159" s="27">
        <f>IFERROR(VLOOKUP(E159,'[11]SAP Input-BS'!$A$5:$E$500,5,0),0)</f>
        <v>0</v>
      </c>
      <c r="L159" s="27">
        <v>0</v>
      </c>
    </row>
    <row r="160" spans="1:12">
      <c r="A160" s="1" t="s">
        <v>594</v>
      </c>
      <c r="B160" s="1" t="s">
        <v>594</v>
      </c>
      <c r="D160" s="3" t="s">
        <v>599</v>
      </c>
      <c r="E160" s="6" t="s">
        <v>604</v>
      </c>
      <c r="F160" s="27">
        <f>IFERROR(VLOOKUP(E160,'[9]SAP Input-BS'!$A$5:$F$502,5,0),0)</f>
        <v>0</v>
      </c>
      <c r="G160" s="27">
        <f>IFERROR(VLOOKUP(E160,'[10]SAP Input-BS'!$A$5:$F$500,5,0),0)</f>
        <v>0</v>
      </c>
      <c r="H160" s="73">
        <f t="shared" si="2"/>
        <v>0</v>
      </c>
      <c r="I160" s="77"/>
      <c r="K160" s="27">
        <f>IFERROR(VLOOKUP(E160,'[11]SAP Input-BS'!$A$5:$E$500,5,0),0)</f>
        <v>0</v>
      </c>
      <c r="L160" s="27">
        <v>0</v>
      </c>
    </row>
    <row r="161" spans="1:12">
      <c r="A161" s="41" t="s">
        <v>594</v>
      </c>
      <c r="B161" s="42" t="s">
        <v>594</v>
      </c>
      <c r="C161" s="42"/>
      <c r="D161" s="57" t="s">
        <v>593</v>
      </c>
      <c r="E161" s="15" t="s">
        <v>605</v>
      </c>
      <c r="F161" s="80">
        <f>IFERROR(VLOOKUP(E161,'[9]SAP Input-BS'!$A$5:$F$502,5,0),0)</f>
        <v>-52905387414.620003</v>
      </c>
      <c r="G161" s="32">
        <f>IFERROR(VLOOKUP(E161,'[10]SAP Input-BS'!$A$5:$F$500,5,0),0)</f>
        <v>-57995179751.980003</v>
      </c>
      <c r="H161" s="73">
        <f t="shared" si="2"/>
        <v>5089792337.3600006</v>
      </c>
      <c r="I161" s="84"/>
      <c r="K161" s="32">
        <f>IFERROR(VLOOKUP(E161,'[11]SAP Input-BS'!$A$5:$E$500,5,0),0)</f>
        <v>-44425237744.410004</v>
      </c>
      <c r="L161" s="32">
        <v>-53608349293.709999</v>
      </c>
    </row>
    <row r="162" spans="1:12">
      <c r="E162" s="39"/>
      <c r="F162" s="27">
        <f>IFERROR(VLOOKUP(E162,'[9]SAP Input-BS'!$A$5:$F$502,5,0),0)</f>
        <v>0</v>
      </c>
      <c r="G162" s="27">
        <f>IFERROR(VLOOKUP(E162,'[10]SAP Input-BS'!$A$5:$F$500,5,0),0)</f>
        <v>0</v>
      </c>
      <c r="H162" s="73">
        <f t="shared" si="2"/>
        <v>0</v>
      </c>
      <c r="I162" s="77"/>
      <c r="K162" s="27">
        <f>IFERROR(VLOOKUP(G162,'[12]SAP Input-BS'!$A$5:$E$500,5,0),0)</f>
        <v>0</v>
      </c>
      <c r="L162" s="27">
        <v>0</v>
      </c>
    </row>
    <row r="163" spans="1:12" s="1" customFormat="1">
      <c r="A163" s="51" t="s">
        <v>608</v>
      </c>
      <c r="B163" s="52" t="s">
        <v>606</v>
      </c>
      <c r="C163" s="52" t="s">
        <v>606</v>
      </c>
      <c r="D163" s="17" t="s">
        <v>606</v>
      </c>
      <c r="E163" s="18" t="s">
        <v>607</v>
      </c>
      <c r="F163" s="46">
        <f>IFERROR(VLOOKUP(E163,'[9]SAP Input-BS'!$A$5:$F$502,5,0),0)-1</f>
        <v>-94164485453.339996</v>
      </c>
      <c r="G163" s="46">
        <f>IFERROR(VLOOKUP(E163,'[10]SAP Input-BS'!$A$5:$F$500,5,0),0)</f>
        <v>-98945690389.539993</v>
      </c>
      <c r="H163" s="73">
        <f t="shared" si="2"/>
        <v>4781204936.1999969</v>
      </c>
      <c r="I163" s="83"/>
      <c r="K163" s="46">
        <f>IFERROR(VLOOKUP(E163,'[11]SAP Input-BS'!$A$5:$E$500,5,0),0)</f>
        <v>-94016189462.179993</v>
      </c>
      <c r="L163" s="46">
        <v>-103302194458.03</v>
      </c>
    </row>
    <row r="164" spans="1:12">
      <c r="A164" s="41" t="s">
        <v>609</v>
      </c>
      <c r="B164" s="42" t="s">
        <v>610</v>
      </c>
      <c r="C164" s="42" t="s">
        <v>610</v>
      </c>
      <c r="D164" s="42" t="s">
        <v>610</v>
      </c>
      <c r="E164" s="42" t="s">
        <v>611</v>
      </c>
      <c r="F164" s="48">
        <f>F163-F161</f>
        <v>-41259098038.719994</v>
      </c>
      <c r="G164" s="48">
        <f>G163-G161</f>
        <v>-40950510637.55999</v>
      </c>
      <c r="H164" s="73">
        <f t="shared" si="2"/>
        <v>-308587401.16000366</v>
      </c>
      <c r="I164" s="84"/>
      <c r="K164" s="48">
        <f>K163-K161</f>
        <v>-49590951717.769989</v>
      </c>
      <c r="L164" s="48">
        <v>-49693845164.32</v>
      </c>
    </row>
    <row r="166" spans="1:12">
      <c r="F166" s="22">
        <f>F163+'BS-Assets'!F128</f>
        <v>-0.3899993896484375</v>
      </c>
      <c r="G166" s="22">
        <f>G163+'BS-Assets'!G128</f>
        <v>0</v>
      </c>
      <c r="K166" s="22">
        <f>K163+'BS-Assets'!K128</f>
        <v>0</v>
      </c>
      <c r="L166" s="22">
        <v>-4356504068.4900055</v>
      </c>
    </row>
    <row r="169" spans="1:12">
      <c r="L169" s="22">
        <v>-83472753.32586208</v>
      </c>
    </row>
  </sheetData>
  <autoFilter ref="A1:K164" xr:uid="{56192DE1-0D3C-40F2-8ED7-4C76B83291FF}"/>
  <pageMargins left="0.7" right="0.7" top="0.75" bottom="0.75" header="0.3" footer="0.3"/>
  <ignoredErrors>
    <ignoredError sqref="K155 K16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96B3B-621C-46AC-9F14-1EF0A65AAAB6}">
  <sheetPr>
    <tabColor rgb="FFFFC000"/>
  </sheetPr>
  <dimension ref="A1:L128"/>
  <sheetViews>
    <sheetView zoomScale="80" zoomScaleNormal="80" workbookViewId="0">
      <pane xSplit="4" ySplit="1" topLeftCell="E2" activePane="bottomRight" state="frozen"/>
      <selection activeCell="J51" sqref="J51"/>
      <selection pane="topRight" activeCell="J51" sqref="J51"/>
      <selection pane="bottomLeft" activeCell="J51" sqref="J51"/>
      <selection pane="bottomRight" activeCell="F54" sqref="F54"/>
    </sheetView>
  </sheetViews>
  <sheetFormatPr baseColWidth="10" defaultColWidth="8.83203125" defaultRowHeight="15"/>
  <cols>
    <col min="1" max="1" width="26" customWidth="1"/>
    <col min="2" max="2" width="33.5" bestFit="1" customWidth="1"/>
    <col min="3" max="3" width="32.33203125" bestFit="1" customWidth="1"/>
    <col min="4" max="4" width="52.6640625" bestFit="1" customWidth="1"/>
    <col min="5" max="5" width="15.5" style="1" customWidth="1"/>
    <col min="6" max="7" width="18.1640625" style="65" bestFit="1" customWidth="1"/>
    <col min="8" max="9" width="18" style="22" customWidth="1"/>
    <col min="10" max="10" width="17.6640625" bestFit="1" customWidth="1"/>
    <col min="11" max="11" width="17.33203125" style="22" bestFit="1" customWidth="1"/>
    <col min="12" max="12" width="18" style="22" bestFit="1" customWidth="1"/>
  </cols>
  <sheetData>
    <row r="1" spans="1:12" s="1" customFormat="1">
      <c r="A1" s="41" t="s">
        <v>263</v>
      </c>
      <c r="B1" s="42" t="s">
        <v>259</v>
      </c>
      <c r="C1" s="42" t="s">
        <v>260</v>
      </c>
      <c r="D1" s="42" t="s">
        <v>0</v>
      </c>
      <c r="E1" s="42" t="s">
        <v>262</v>
      </c>
      <c r="F1" s="43">
        <v>46174</v>
      </c>
      <c r="G1" s="43">
        <v>46082</v>
      </c>
      <c r="H1" s="72" t="s">
        <v>653</v>
      </c>
      <c r="I1" s="72" t="s">
        <v>654</v>
      </c>
      <c r="K1" s="61">
        <v>45901</v>
      </c>
      <c r="L1" s="44">
        <v>45992</v>
      </c>
    </row>
    <row r="2" spans="1:12">
      <c r="A2" s="1" t="s">
        <v>264</v>
      </c>
      <c r="B2" s="2" t="s">
        <v>1</v>
      </c>
      <c r="C2" s="2" t="s">
        <v>1</v>
      </c>
      <c r="D2" s="3" t="s">
        <v>2</v>
      </c>
      <c r="E2" s="4" t="s">
        <v>3</v>
      </c>
      <c r="F2" s="27">
        <f>IFERROR(VLOOKUP(E2,'[9]SAP Input-BS'!$A$5:$F$502,5,0),0)</f>
        <v>0</v>
      </c>
      <c r="G2" s="27">
        <f>IFERROR(VLOOKUP(E2,'[10]SAP Input-BS'!$A$5:$F$500,5,0),0)</f>
        <v>0</v>
      </c>
      <c r="H2" s="73">
        <f>F2-G2</f>
        <v>0</v>
      </c>
      <c r="I2" s="73"/>
      <c r="K2" s="27">
        <f>IFERROR(VLOOKUP(E2,'[11]SAP Input-BS'!$A$5:$E$500,5,0),0)</f>
        <v>0</v>
      </c>
      <c r="L2" s="27">
        <v>0</v>
      </c>
    </row>
    <row r="3" spans="1:12">
      <c r="A3" s="1" t="s">
        <v>264</v>
      </c>
      <c r="B3" s="2" t="s">
        <v>1</v>
      </c>
      <c r="C3" s="2" t="s">
        <v>1</v>
      </c>
      <c r="D3" s="3" t="s">
        <v>4</v>
      </c>
      <c r="E3" s="4" t="s">
        <v>5</v>
      </c>
      <c r="F3" s="27">
        <f>IFERROR(VLOOKUP(E3,'[9]SAP Input-BS'!$A$5:$F$502,5,0),0)</f>
        <v>13</v>
      </c>
      <c r="G3" s="27">
        <f>IFERROR(VLOOKUP(E3,'[10]SAP Input-BS'!$A$5:$F$500,5,0),0)</f>
        <v>1234</v>
      </c>
      <c r="H3" s="73">
        <f t="shared" ref="H3:H66" si="0">F3-G3</f>
        <v>-1221</v>
      </c>
      <c r="I3" s="73"/>
      <c r="K3" s="27">
        <f>IFERROR(VLOOKUP(E3,'[11]SAP Input-BS'!$A$5:$E$500,5,0),0)</f>
        <v>2415</v>
      </c>
      <c r="L3" s="27">
        <v>2301</v>
      </c>
    </row>
    <row r="4" spans="1:12">
      <c r="A4" s="1" t="s">
        <v>264</v>
      </c>
      <c r="B4" s="2" t="s">
        <v>1</v>
      </c>
      <c r="C4" s="2" t="s">
        <v>1</v>
      </c>
      <c r="D4" s="3" t="s">
        <v>6</v>
      </c>
      <c r="E4" s="4" t="s">
        <v>7</v>
      </c>
      <c r="F4" s="27">
        <f>IFERROR(VLOOKUP(E4,'[9]SAP Input-BS'!$A$5:$F$502,5,0),0)</f>
        <v>12020967174.35</v>
      </c>
      <c r="G4" s="27">
        <f>IFERROR(VLOOKUP(E4,'[10]SAP Input-BS'!$A$5:$F$500,5,0),0)</f>
        <v>1560768050</v>
      </c>
      <c r="H4" s="73">
        <f t="shared" si="0"/>
        <v>10460199124.35</v>
      </c>
      <c r="I4" s="73"/>
      <c r="J4" s="64"/>
      <c r="K4" s="27">
        <f>IFERROR(VLOOKUP(E4,'[11]SAP Input-BS'!$A$5:$E$500,5,0),0)</f>
        <v>4093160878.3800001</v>
      </c>
      <c r="L4" s="27">
        <v>7544558484.1000004</v>
      </c>
    </row>
    <row r="5" spans="1:12" s="19" customFormat="1">
      <c r="A5" s="19" t="s">
        <v>264</v>
      </c>
      <c r="B5" s="20" t="s">
        <v>1</v>
      </c>
      <c r="C5" s="20" t="s">
        <v>1</v>
      </c>
      <c r="D5" s="53" t="s">
        <v>8</v>
      </c>
      <c r="E5" s="21" t="s">
        <v>9</v>
      </c>
      <c r="F5" s="28">
        <f>IFERROR(VLOOKUP(E5,'[9]SAP Input-BS'!$A$5:$F$502,5,0),0)</f>
        <v>12020967187.35</v>
      </c>
      <c r="G5" s="28">
        <f>IFERROR(VLOOKUP(E5,'[10]SAP Input-BS'!$A$5:$F$500,5,0),0)</f>
        <v>1560769284</v>
      </c>
      <c r="H5" s="74">
        <f t="shared" si="0"/>
        <v>10460197903.35</v>
      </c>
      <c r="I5" s="74"/>
      <c r="K5" s="31">
        <f>IFERROR(VLOOKUP(E5,'[11]SAP Input-BS'!$A$5:$E$500,5,0),0)</f>
        <v>4093163293.3800001</v>
      </c>
      <c r="L5" s="28">
        <v>7544560785.1000004</v>
      </c>
    </row>
    <row r="6" spans="1:12">
      <c r="A6" s="1" t="s">
        <v>264</v>
      </c>
      <c r="B6" s="2" t="s">
        <v>10</v>
      </c>
      <c r="C6" s="2" t="s">
        <v>10</v>
      </c>
      <c r="D6" s="3" t="s">
        <v>11</v>
      </c>
      <c r="E6" s="9" t="s">
        <v>17</v>
      </c>
      <c r="F6" s="27">
        <f>IFERROR(VLOOKUP(E6,'[9]SAP Input-BS'!$A$5:$F$502,5,0),0)</f>
        <v>1671416995.98</v>
      </c>
      <c r="G6" s="27">
        <f>IFERROR(VLOOKUP(E6,'[10]SAP Input-BS'!$A$5:$F$500,5,0),0)</f>
        <v>2110535459.8399999</v>
      </c>
      <c r="H6" s="73">
        <f t="shared" si="0"/>
        <v>-439118463.8599999</v>
      </c>
      <c r="I6" s="73"/>
      <c r="K6" s="27">
        <f>IFERROR(VLOOKUP(E6,'[11]SAP Input-BS'!$A$5:$E$500,5,0),0)</f>
        <v>2314063581.8699999</v>
      </c>
      <c r="L6" s="27">
        <v>3332358111.77</v>
      </c>
    </row>
    <row r="7" spans="1:12">
      <c r="A7" s="1" t="s">
        <v>264</v>
      </c>
      <c r="B7" s="2" t="s">
        <v>10</v>
      </c>
      <c r="C7" s="2" t="s">
        <v>10</v>
      </c>
      <c r="D7" s="3" t="s">
        <v>12</v>
      </c>
      <c r="E7" s="7" t="s">
        <v>18</v>
      </c>
      <c r="F7" s="27">
        <f>IFERROR(VLOOKUP(E7,'[9]SAP Input-BS'!$A$5:$F$502,5,0),0)</f>
        <v>12685400534.4</v>
      </c>
      <c r="G7" s="27">
        <f>IFERROR(VLOOKUP(E7,'[10]SAP Input-BS'!$A$5:$F$500,5,0),0)</f>
        <v>21422072230.540001</v>
      </c>
      <c r="H7" s="73">
        <f t="shared" si="0"/>
        <v>-8736671696.1400013</v>
      </c>
      <c r="I7" s="73"/>
      <c r="J7" s="33" t="s">
        <v>283</v>
      </c>
      <c r="K7" s="27">
        <f>IFERROR(VLOOKUP(E7,'[11]SAP Input-BS'!$A$5:$E$500,5,0),0)</f>
        <v>16272224248.379999</v>
      </c>
      <c r="L7" s="27">
        <v>15384514271.6</v>
      </c>
    </row>
    <row r="8" spans="1:12">
      <c r="A8" s="1" t="s">
        <v>264</v>
      </c>
      <c r="B8" s="2" t="s">
        <v>10</v>
      </c>
      <c r="C8" s="2" t="s">
        <v>10</v>
      </c>
      <c r="D8" s="3" t="s">
        <v>13</v>
      </c>
      <c r="E8" s="7" t="s">
        <v>19</v>
      </c>
      <c r="F8" s="27">
        <f>IFERROR(VLOOKUP(E8,'[9]SAP Input-BS'!$A$5:$F$502,5,0),0)</f>
        <v>0</v>
      </c>
      <c r="G8" s="27">
        <f>IFERROR(VLOOKUP(E8,'[10]SAP Input-BS'!$A$5:$F$500,5,0),0)</f>
        <v>0</v>
      </c>
      <c r="H8" s="73">
        <f t="shared" si="0"/>
        <v>0</v>
      </c>
      <c r="I8" s="73"/>
      <c r="K8" s="27">
        <f>IFERROR(VLOOKUP(E8,'[11]SAP Input-BS'!$A$5:$E$500,5,0),0)</f>
        <v>0</v>
      </c>
      <c r="L8" s="27">
        <v>0</v>
      </c>
    </row>
    <row r="9" spans="1:12">
      <c r="A9" s="1" t="s">
        <v>264</v>
      </c>
      <c r="B9" s="2" t="s">
        <v>10</v>
      </c>
      <c r="C9" s="2" t="s">
        <v>10</v>
      </c>
      <c r="D9" s="3" t="s">
        <v>14</v>
      </c>
      <c r="E9" s="7" t="s">
        <v>20</v>
      </c>
      <c r="F9" s="27">
        <f>IFERROR(VLOOKUP(E9,'[9]SAP Input-BS'!$A$5:$F$502,5,0),0)</f>
        <v>209060825.80000001</v>
      </c>
      <c r="G9" s="27">
        <f>IFERROR(VLOOKUP(E9,'[10]SAP Input-BS'!$A$5:$F$500,5,0),0)</f>
        <v>267026767.59999999</v>
      </c>
      <c r="H9" s="73">
        <f t="shared" si="0"/>
        <v>-57965941.799999982</v>
      </c>
      <c r="I9" s="73"/>
      <c r="J9" s="33" t="s">
        <v>284</v>
      </c>
      <c r="K9" s="27">
        <f>IFERROR(VLOOKUP(E9,'[11]SAP Input-BS'!$A$5:$E$500,5,0),0)</f>
        <v>106663127.92</v>
      </c>
      <c r="L9" s="27">
        <v>258502008.03999999</v>
      </c>
    </row>
    <row r="10" spans="1:12">
      <c r="A10" s="1" t="s">
        <v>264</v>
      </c>
      <c r="B10" s="2" t="s">
        <v>10</v>
      </c>
      <c r="C10" s="2" t="s">
        <v>10</v>
      </c>
      <c r="D10" s="3" t="s">
        <v>15</v>
      </c>
      <c r="E10" s="7" t="s">
        <v>21</v>
      </c>
      <c r="F10" s="27">
        <f>IFERROR(VLOOKUP(E10,'[9]SAP Input-BS'!$A$5:$F$502,5,0),0)</f>
        <v>0</v>
      </c>
      <c r="G10" s="27">
        <f>IFERROR(VLOOKUP(E10,'[10]SAP Input-BS'!$A$5:$F$500,5,0),0)</f>
        <v>0</v>
      </c>
      <c r="H10" s="73">
        <f t="shared" si="0"/>
        <v>0</v>
      </c>
      <c r="I10" s="73"/>
      <c r="K10" s="27">
        <f>IFERROR(VLOOKUP(E10,'[11]SAP Input-BS'!$A$5:$E$500,5,0),0)</f>
        <v>0</v>
      </c>
      <c r="L10" s="27">
        <v>0</v>
      </c>
    </row>
    <row r="11" spans="1:12" s="19" customFormat="1">
      <c r="A11" s="19" t="s">
        <v>264</v>
      </c>
      <c r="B11" s="20" t="s">
        <v>10</v>
      </c>
      <c r="C11" s="20" t="s">
        <v>10</v>
      </c>
      <c r="D11" s="53" t="s">
        <v>16</v>
      </c>
      <c r="E11" s="21" t="s">
        <v>22</v>
      </c>
      <c r="F11" s="28">
        <f>IFERROR(VLOOKUP(E11,'[9]SAP Input-BS'!$A$5:$F$502,5,0),0)</f>
        <v>14565878356.18</v>
      </c>
      <c r="G11" s="28">
        <f>IFERROR(VLOOKUP(E11,'[10]SAP Input-BS'!$A$5:$F$500,5,0),0)</f>
        <v>23799634457.98</v>
      </c>
      <c r="H11" s="74">
        <f t="shared" si="0"/>
        <v>-9233756101.7999992</v>
      </c>
      <c r="I11" s="74"/>
      <c r="K11" s="31">
        <f>IFERROR(VLOOKUP(E11,'[11]SAP Input-BS'!$A$5:$E$500,5,0),0)</f>
        <v>18692950958.169998</v>
      </c>
      <c r="L11" s="28">
        <v>18975374391.41</v>
      </c>
    </row>
    <row r="12" spans="1:12">
      <c r="A12" s="1" t="s">
        <v>264</v>
      </c>
      <c r="B12" s="2" t="s">
        <v>23</v>
      </c>
      <c r="C12" s="2" t="s">
        <v>261</v>
      </c>
      <c r="D12" s="3" t="s">
        <v>24</v>
      </c>
      <c r="E12" s="9" t="s">
        <v>29</v>
      </c>
      <c r="F12" s="27">
        <f>IFERROR(VLOOKUP(E12,'[9]SAP Input-BS'!$A$5:$F$502,5,0),0)</f>
        <v>11608765263</v>
      </c>
      <c r="G12" s="27">
        <f>IFERROR(VLOOKUP(E12,'[10]SAP Input-BS'!$A$5:$F$500,5,0),0)</f>
        <v>14517034946</v>
      </c>
      <c r="H12" s="73">
        <f t="shared" si="0"/>
        <v>-2908269683</v>
      </c>
      <c r="I12" s="73"/>
      <c r="J12" s="64"/>
      <c r="K12" s="27">
        <f>IFERROR(VLOOKUP(E12,'[11]SAP Input-BS'!$A$5:$E$500,5,0),0)</f>
        <v>11601775417</v>
      </c>
      <c r="L12" s="27">
        <v>11390965220.23</v>
      </c>
    </row>
    <row r="13" spans="1:12">
      <c r="A13" s="1" t="s">
        <v>264</v>
      </c>
      <c r="B13" s="2" t="s">
        <v>23</v>
      </c>
      <c r="C13" s="2" t="s">
        <v>261</v>
      </c>
      <c r="D13" s="3" t="s">
        <v>25</v>
      </c>
      <c r="E13" s="7" t="s">
        <v>30</v>
      </c>
      <c r="F13" s="27">
        <f>IFERROR(VLOOKUP(E13,'[9]SAP Input-BS'!$A$5:$F$502,5,0),0)</f>
        <v>0.08</v>
      </c>
      <c r="G13" s="27">
        <f>IFERROR(VLOOKUP(E13,'[10]SAP Input-BS'!$A$5:$F$500,5,0),0)</f>
        <v>0.04</v>
      </c>
      <c r="H13" s="73">
        <f t="shared" si="0"/>
        <v>0.04</v>
      </c>
      <c r="I13" s="73"/>
      <c r="K13" s="27">
        <f>IFERROR(VLOOKUP(E13,'[11]SAP Input-BS'!$A$5:$E$500,5,0),0)</f>
        <v>-0.34</v>
      </c>
      <c r="L13" s="27">
        <v>0</v>
      </c>
    </row>
    <row r="14" spans="1:12">
      <c r="A14" s="1" t="s">
        <v>264</v>
      </c>
      <c r="B14" s="2" t="s">
        <v>23</v>
      </c>
      <c r="C14" s="2" t="s">
        <v>261</v>
      </c>
      <c r="D14" s="3" t="s">
        <v>26</v>
      </c>
      <c r="E14" s="7" t="s">
        <v>31</v>
      </c>
      <c r="F14" s="27">
        <f>IFERROR(VLOOKUP(E14,'[9]SAP Input-BS'!$A$5:$F$502,5,0),0)</f>
        <v>0</v>
      </c>
      <c r="G14" s="27">
        <f>IFERROR(VLOOKUP(E14,'[10]SAP Input-BS'!$A$5:$F$500,5,0),0)</f>
        <v>0</v>
      </c>
      <c r="H14" s="73">
        <f t="shared" si="0"/>
        <v>0</v>
      </c>
      <c r="I14" s="73"/>
      <c r="K14" s="27">
        <f>IFERROR(VLOOKUP(E14,'[11]SAP Input-BS'!$A$5:$E$500,5,0),0)</f>
        <v>0</v>
      </c>
      <c r="L14" s="27">
        <v>0</v>
      </c>
    </row>
    <row r="15" spans="1:12">
      <c r="A15" s="1" t="s">
        <v>264</v>
      </c>
      <c r="B15" s="2" t="s">
        <v>23</v>
      </c>
      <c r="C15" s="2" t="s">
        <v>261</v>
      </c>
      <c r="D15" s="3" t="s">
        <v>27</v>
      </c>
      <c r="E15" s="10" t="s">
        <v>32</v>
      </c>
      <c r="F15" s="27">
        <f>IFERROR(VLOOKUP(E15,'[9]SAP Input-BS'!$A$5:$F$502,5,0),0)</f>
        <v>0</v>
      </c>
      <c r="G15" s="27">
        <f>IFERROR(VLOOKUP(E15,'[10]SAP Input-BS'!$A$5:$F$500,5,0),0)</f>
        <v>0</v>
      </c>
      <c r="H15" s="73">
        <f t="shared" si="0"/>
        <v>0</v>
      </c>
      <c r="I15" s="73"/>
      <c r="K15" s="27">
        <f>IFERROR(VLOOKUP(E15,'[11]SAP Input-BS'!$A$5:$E$500,5,0),0)</f>
        <v>0</v>
      </c>
      <c r="L15" s="27">
        <v>0</v>
      </c>
    </row>
    <row r="16" spans="1:12" s="19" customFormat="1">
      <c r="A16" s="19" t="s">
        <v>264</v>
      </c>
      <c r="B16" s="20" t="s">
        <v>23</v>
      </c>
      <c r="C16" s="20" t="s">
        <v>261</v>
      </c>
      <c r="D16" s="53" t="s">
        <v>28</v>
      </c>
      <c r="E16" s="82" t="s">
        <v>33</v>
      </c>
      <c r="F16" s="28">
        <f>IFERROR(VLOOKUP(E16,'[9]SAP Input-BS'!$A$5:$F$502,5,0),0)</f>
        <v>11608765263.08</v>
      </c>
      <c r="G16" s="28">
        <f>IFERROR(VLOOKUP(E16,'[10]SAP Input-BS'!$A$5:$F$500,5,0),0)</f>
        <v>14517034946.040001</v>
      </c>
      <c r="H16" s="74">
        <f t="shared" si="0"/>
        <v>-2908269682.960001</v>
      </c>
      <c r="I16" s="74"/>
      <c r="K16" s="31">
        <f>IFERROR(VLOOKUP(E16,'[11]SAP Input-BS'!$A$5:$E$500,5,0),0)</f>
        <v>11601775416.66</v>
      </c>
      <c r="L16" s="28">
        <v>11390965220.23</v>
      </c>
    </row>
    <row r="17" spans="1:12">
      <c r="A17" s="1" t="s">
        <v>264</v>
      </c>
      <c r="B17" s="2" t="s">
        <v>23</v>
      </c>
      <c r="C17" s="2" t="s">
        <v>34</v>
      </c>
      <c r="D17" s="3" t="s">
        <v>35</v>
      </c>
      <c r="E17" s="9" t="s">
        <v>36</v>
      </c>
      <c r="F17" s="27">
        <f>IFERROR(VLOOKUP(E17,'[9]SAP Input-BS'!$A$5:$F$502,5,0),0)</f>
        <v>0</v>
      </c>
      <c r="G17" s="27">
        <f>IFERROR(VLOOKUP(E17,'[10]SAP Input-BS'!$A$5:$F$500,5,0),0)</f>
        <v>0</v>
      </c>
      <c r="H17" s="73">
        <f t="shared" si="0"/>
        <v>0</v>
      </c>
      <c r="I17" s="73"/>
      <c r="K17" s="27">
        <f>IFERROR(VLOOKUP(E17,'[11]SAP Input-BS'!$A$5:$E$500,5,0),0)</f>
        <v>0</v>
      </c>
      <c r="L17" s="27">
        <v>0</v>
      </c>
    </row>
    <row r="18" spans="1:12">
      <c r="A18" s="1" t="s">
        <v>264</v>
      </c>
      <c r="B18" s="2" t="s">
        <v>23</v>
      </c>
      <c r="C18" s="2" t="s">
        <v>34</v>
      </c>
      <c r="D18" s="3" t="s">
        <v>37</v>
      </c>
      <c r="E18" s="7" t="s">
        <v>38</v>
      </c>
      <c r="F18" s="27">
        <f>IFERROR(VLOOKUP(E18,'[9]SAP Input-BS'!$A$5:$F$502,5,0),0)</f>
        <v>13515405.35</v>
      </c>
      <c r="G18" s="27">
        <f>IFERROR(VLOOKUP(E18,'[10]SAP Input-BS'!$A$5:$F$500,5,0),0)</f>
        <v>12718627.710000001</v>
      </c>
      <c r="H18" s="73">
        <f t="shared" si="0"/>
        <v>796777.63999999873</v>
      </c>
      <c r="I18" s="73"/>
      <c r="K18" s="27">
        <f>IFERROR(VLOOKUP(E18,'[11]SAP Input-BS'!$A$5:$E$500,5,0),0)</f>
        <v>11675401.41</v>
      </c>
      <c r="L18" s="27">
        <v>12537938.289999999</v>
      </c>
    </row>
    <row r="19" spans="1:12">
      <c r="A19" s="1" t="s">
        <v>264</v>
      </c>
      <c r="B19" s="2" t="s">
        <v>23</v>
      </c>
      <c r="C19" s="2" t="s">
        <v>34</v>
      </c>
      <c r="D19" s="3" t="s">
        <v>39</v>
      </c>
      <c r="E19" s="7" t="s">
        <v>40</v>
      </c>
      <c r="F19" s="27">
        <f>IFERROR(VLOOKUP(E19,'[9]SAP Input-BS'!$A$5:$F$502,5,0),0)</f>
        <v>6147292000</v>
      </c>
      <c r="G19" s="27">
        <f>IFERROR(VLOOKUP(E19,'[10]SAP Input-BS'!$A$5:$F$500,5,0),0)</f>
        <v>5218076388</v>
      </c>
      <c r="H19" s="73">
        <f t="shared" si="0"/>
        <v>929215612</v>
      </c>
      <c r="I19" s="73"/>
      <c r="J19" t="s">
        <v>616</v>
      </c>
      <c r="K19" s="27">
        <f>IFERROR(VLOOKUP(E19,'[11]SAP Input-BS'!$A$5:$E$500,5,0),0)</f>
        <v>1813902000</v>
      </c>
      <c r="L19" s="27">
        <v>5263902000</v>
      </c>
    </row>
    <row r="20" spans="1:12">
      <c r="A20" s="1" t="s">
        <v>264</v>
      </c>
      <c r="B20" s="2" t="s">
        <v>23</v>
      </c>
      <c r="C20" s="2" t="s">
        <v>34</v>
      </c>
      <c r="D20" s="3" t="s">
        <v>41</v>
      </c>
      <c r="E20" s="7" t="s">
        <v>42</v>
      </c>
      <c r="F20" s="27">
        <f>IFERROR(VLOOKUP(E20,'[9]SAP Input-BS'!$A$5:$F$502,5,0),0)</f>
        <v>0</v>
      </c>
      <c r="G20" s="27">
        <f>IFERROR(VLOOKUP(E20,'[10]SAP Input-BS'!$A$5:$F$500,5,0),0)</f>
        <v>0</v>
      </c>
      <c r="H20" s="73">
        <f t="shared" si="0"/>
        <v>0</v>
      </c>
      <c r="I20" s="73"/>
      <c r="K20" s="27">
        <f>IFERROR(VLOOKUP(E20,'[11]SAP Input-BS'!$A$5:$E$500,5,0),0)</f>
        <v>0</v>
      </c>
      <c r="L20" s="27">
        <v>0</v>
      </c>
    </row>
    <row r="21" spans="1:12">
      <c r="A21" s="1" t="s">
        <v>264</v>
      </c>
      <c r="B21" s="2" t="s">
        <v>23</v>
      </c>
      <c r="C21" s="2" t="s">
        <v>34</v>
      </c>
      <c r="D21" s="3" t="s">
        <v>43</v>
      </c>
      <c r="E21" s="7" t="s">
        <v>44</v>
      </c>
      <c r="F21" s="27">
        <f>IFERROR(VLOOKUP(E21,'[9]SAP Input-BS'!$A$5:$F$502,5,0),0)</f>
        <v>0</v>
      </c>
      <c r="G21" s="27">
        <f>IFERROR(VLOOKUP(E21,'[10]SAP Input-BS'!$A$5:$F$500,5,0),0)</f>
        <v>0</v>
      </c>
      <c r="H21" s="73">
        <f t="shared" si="0"/>
        <v>0</v>
      </c>
      <c r="I21" s="73"/>
      <c r="K21" s="27">
        <f>IFERROR(VLOOKUP(E21,'[11]SAP Input-BS'!$A$5:$E$500,5,0),0)</f>
        <v>0</v>
      </c>
      <c r="L21" s="27">
        <v>0</v>
      </c>
    </row>
    <row r="22" spans="1:12">
      <c r="A22" s="1" t="s">
        <v>264</v>
      </c>
      <c r="B22" s="2" t="s">
        <v>23</v>
      </c>
      <c r="C22" s="2" t="s">
        <v>34</v>
      </c>
      <c r="D22" s="3" t="s">
        <v>45</v>
      </c>
      <c r="E22" s="7" t="s">
        <v>46</v>
      </c>
      <c r="F22" s="27">
        <f>IFERROR(VLOOKUP(E22,'[9]SAP Input-BS'!$A$5:$F$502,5,0),0)</f>
        <v>0</v>
      </c>
      <c r="G22" s="27">
        <f>IFERROR(VLOOKUP(E22,'[10]SAP Input-BS'!$A$5:$F$500,5,0),0)</f>
        <v>0</v>
      </c>
      <c r="H22" s="73">
        <f t="shared" si="0"/>
        <v>0</v>
      </c>
      <c r="I22" s="73"/>
      <c r="K22" s="27">
        <f>IFERROR(VLOOKUP(E22,'[11]SAP Input-BS'!$A$5:$E$500,5,0),0)</f>
        <v>0</v>
      </c>
      <c r="L22" s="27">
        <v>0</v>
      </c>
    </row>
    <row r="23" spans="1:12" s="19" customFormat="1">
      <c r="A23" s="19" t="s">
        <v>264</v>
      </c>
      <c r="B23" s="20" t="s">
        <v>23</v>
      </c>
      <c r="C23" s="20" t="s">
        <v>34</v>
      </c>
      <c r="D23" s="53" t="s">
        <v>47</v>
      </c>
      <c r="E23" s="24" t="s">
        <v>48</v>
      </c>
      <c r="F23" s="28">
        <f>IFERROR(VLOOKUP(E23,'[9]SAP Input-BS'!$A$5:$F$502,5,0),0)</f>
        <v>6160807405.3500004</v>
      </c>
      <c r="G23" s="28">
        <f>IFERROR(VLOOKUP(E23,'[10]SAP Input-BS'!$A$5:$F$500,5,0),0)</f>
        <v>5230795015.71</v>
      </c>
      <c r="H23" s="74">
        <f t="shared" si="0"/>
        <v>930012389.64000034</v>
      </c>
      <c r="I23" s="74"/>
      <c r="K23" s="31">
        <f>IFERROR(VLOOKUP(E23,'[11]SAP Input-BS'!$A$5:$E$500,5,0),0)</f>
        <v>1825577401.4100001</v>
      </c>
      <c r="L23" s="28">
        <v>5276439938.29</v>
      </c>
    </row>
    <row r="24" spans="1:12">
      <c r="A24" s="1" t="s">
        <v>264</v>
      </c>
      <c r="B24" s="2" t="s">
        <v>23</v>
      </c>
      <c r="C24" s="1" t="s">
        <v>49</v>
      </c>
      <c r="D24" s="3" t="s">
        <v>50</v>
      </c>
      <c r="E24" s="9" t="s">
        <v>51</v>
      </c>
      <c r="F24" s="27">
        <f>IFERROR(VLOOKUP(E24,'[9]SAP Input-BS'!$A$5:$F$502,5,0),0)</f>
        <v>0</v>
      </c>
      <c r="G24" s="27">
        <f>IFERROR(VLOOKUP(E24,'[10]SAP Input-BS'!$A$5:$F$500,5,0),0)</f>
        <v>0</v>
      </c>
      <c r="H24" s="73">
        <f t="shared" si="0"/>
        <v>0</v>
      </c>
      <c r="I24" s="73"/>
      <c r="K24" s="27">
        <f>IFERROR(VLOOKUP(E24,'[11]SAP Input-BS'!$A$5:$E$500,5,0),0)</f>
        <v>0</v>
      </c>
      <c r="L24" s="27">
        <v>0</v>
      </c>
    </row>
    <row r="25" spans="1:12">
      <c r="A25" s="1" t="s">
        <v>264</v>
      </c>
      <c r="B25" s="2" t="s">
        <v>23</v>
      </c>
      <c r="C25" s="1" t="s">
        <v>49</v>
      </c>
      <c r="D25" s="3" t="s">
        <v>52</v>
      </c>
      <c r="E25" s="7" t="s">
        <v>53</v>
      </c>
      <c r="F25" s="27">
        <f>IFERROR(VLOOKUP(E25,'[9]SAP Input-BS'!$A$5:$F$502,5,0),0)</f>
        <v>0</v>
      </c>
      <c r="G25" s="27">
        <f>IFERROR(VLOOKUP(E25,'[10]SAP Input-BS'!$A$5:$F$500,5,0),0)</f>
        <v>0</v>
      </c>
      <c r="H25" s="73">
        <f t="shared" si="0"/>
        <v>0</v>
      </c>
      <c r="I25" s="73"/>
      <c r="K25" s="27">
        <f>IFERROR(VLOOKUP(E25,'[11]SAP Input-BS'!$A$5:$E$500,5,0),0)</f>
        <v>0</v>
      </c>
      <c r="L25" s="27">
        <v>0</v>
      </c>
    </row>
    <row r="26" spans="1:12">
      <c r="A26" s="1" t="s">
        <v>264</v>
      </c>
      <c r="B26" s="2" t="s">
        <v>23</v>
      </c>
      <c r="C26" s="1" t="s">
        <v>49</v>
      </c>
      <c r="D26" s="3" t="s">
        <v>54</v>
      </c>
      <c r="E26" s="7" t="s">
        <v>55</v>
      </c>
      <c r="F26" s="27">
        <f>IFERROR(VLOOKUP(E26,'[9]SAP Input-BS'!$A$5:$F$502,5,0),0)</f>
        <v>0</v>
      </c>
      <c r="G26" s="27">
        <f>IFERROR(VLOOKUP(E26,'[10]SAP Input-BS'!$A$5:$F$500,5,0),0)</f>
        <v>0</v>
      </c>
      <c r="H26" s="73">
        <f t="shared" si="0"/>
        <v>0</v>
      </c>
      <c r="I26" s="73"/>
      <c r="K26" s="27">
        <f>IFERROR(VLOOKUP(E26,'[11]SAP Input-BS'!$A$5:$E$500,5,0),0)</f>
        <v>0</v>
      </c>
      <c r="L26" s="27">
        <v>0</v>
      </c>
    </row>
    <row r="27" spans="1:12">
      <c r="A27" s="1" t="s">
        <v>264</v>
      </c>
      <c r="B27" s="2" t="s">
        <v>23</v>
      </c>
      <c r="C27" s="1" t="s">
        <v>49</v>
      </c>
      <c r="D27" s="3" t="s">
        <v>56</v>
      </c>
      <c r="E27" s="7" t="s">
        <v>57</v>
      </c>
      <c r="F27" s="27">
        <f>IFERROR(VLOOKUP(E27,'[9]SAP Input-BS'!$A$5:$F$502,5,0),0)</f>
        <v>0</v>
      </c>
      <c r="G27" s="27">
        <f>IFERROR(VLOOKUP(E27,'[10]SAP Input-BS'!$A$5:$F$500,5,0),0)</f>
        <v>0</v>
      </c>
      <c r="H27" s="73">
        <f t="shared" si="0"/>
        <v>0</v>
      </c>
      <c r="I27" s="73"/>
      <c r="K27" s="27">
        <f>IFERROR(VLOOKUP(E27,'[11]SAP Input-BS'!$A$5:$E$500,5,0),0)</f>
        <v>0</v>
      </c>
      <c r="L27" s="27">
        <v>0</v>
      </c>
    </row>
    <row r="28" spans="1:12" s="19" customFormat="1">
      <c r="A28" s="19" t="s">
        <v>264</v>
      </c>
      <c r="B28" s="20" t="s">
        <v>23</v>
      </c>
      <c r="C28" s="19" t="s">
        <v>49</v>
      </c>
      <c r="D28" s="53" t="s">
        <v>58</v>
      </c>
      <c r="E28" s="24" t="s">
        <v>59</v>
      </c>
      <c r="F28" s="28">
        <f>IFERROR(VLOOKUP(E28,'[9]SAP Input-BS'!$A$5:$F$502,5,0),0)</f>
        <v>0</v>
      </c>
      <c r="G28" s="28">
        <f>IFERROR(VLOOKUP(E28,'[10]SAP Input-BS'!$A$5:$F$500,5,0),0)</f>
        <v>0</v>
      </c>
      <c r="H28" s="74">
        <f t="shared" si="0"/>
        <v>0</v>
      </c>
      <c r="I28" s="74"/>
      <c r="K28" s="31">
        <f>IFERROR(VLOOKUP(E28,'[11]SAP Input-BS'!$A$5:$E$500,5,0),0)</f>
        <v>0</v>
      </c>
      <c r="L28" s="28">
        <v>0</v>
      </c>
    </row>
    <row r="29" spans="1:12">
      <c r="A29" s="1" t="s">
        <v>264</v>
      </c>
      <c r="B29" s="2" t="s">
        <v>23</v>
      </c>
      <c r="C29" s="1" t="s">
        <v>637</v>
      </c>
      <c r="D29" s="3" t="s">
        <v>60</v>
      </c>
      <c r="E29" s="9" t="s">
        <v>61</v>
      </c>
      <c r="F29" s="27">
        <f>IFERROR(VLOOKUP(E29,'[9]SAP Input-BS'!$A$5:$F$502,5,0),0)</f>
        <v>395964868.70999998</v>
      </c>
      <c r="G29" s="27">
        <f>IFERROR(VLOOKUP(E29,'[10]SAP Input-BS'!$A$5:$F$500,5,0),0)</f>
        <v>395964868.70999998</v>
      </c>
      <c r="H29" s="73">
        <f t="shared" si="0"/>
        <v>0</v>
      </c>
      <c r="I29" s="73"/>
      <c r="K29" s="27">
        <f>IFERROR(VLOOKUP(E29,'[11]SAP Input-BS'!$A$5:$E$500,5,0),0)</f>
        <v>6.62</v>
      </c>
      <c r="L29" s="27">
        <v>384618619.62</v>
      </c>
    </row>
    <row r="30" spans="1:12">
      <c r="A30" s="1" t="s">
        <v>264</v>
      </c>
      <c r="B30" s="2" t="s">
        <v>23</v>
      </c>
      <c r="C30" s="1" t="s">
        <v>636</v>
      </c>
      <c r="D30" s="3" t="s">
        <v>62</v>
      </c>
      <c r="E30" s="7" t="s">
        <v>63</v>
      </c>
      <c r="F30" s="27">
        <f>IFERROR(VLOOKUP(E30,'[9]SAP Input-BS'!$A$5:$F$502,5,0),0)</f>
        <v>0</v>
      </c>
      <c r="G30" s="27">
        <f>IFERROR(VLOOKUP(E30,'[10]SAP Input-BS'!$A$5:$F$500,5,0),0)</f>
        <v>0</v>
      </c>
      <c r="H30" s="73">
        <f t="shared" si="0"/>
        <v>0</v>
      </c>
      <c r="I30" s="73"/>
      <c r="K30" s="27">
        <f>IFERROR(VLOOKUP(E30,'[11]SAP Input-BS'!$A$5:$E$500,5,0),0)</f>
        <v>252393768</v>
      </c>
      <c r="L30" s="27">
        <v>0</v>
      </c>
    </row>
    <row r="31" spans="1:12">
      <c r="A31" s="1" t="s">
        <v>264</v>
      </c>
      <c r="B31" s="2" t="s">
        <v>23</v>
      </c>
      <c r="C31" s="1" t="s">
        <v>635</v>
      </c>
      <c r="D31" s="11" t="s">
        <v>64</v>
      </c>
      <c r="E31" s="7" t="s">
        <v>65</v>
      </c>
      <c r="F31" s="63">
        <f>IFERROR(VLOOKUP(E31,'[9]SAP Input-BS'!$A$5:$F$502,5,0),0)</f>
        <v>575111255.13</v>
      </c>
      <c r="G31" s="63">
        <f>IFERROR(VLOOKUP(E31,'[10]SAP Input-BS'!$A$5:$F$500,5,0),0)</f>
        <v>182412020.18000001</v>
      </c>
      <c r="H31" s="75">
        <f t="shared" si="0"/>
        <v>392699234.94999999</v>
      </c>
      <c r="I31" s="73"/>
      <c r="K31" s="27">
        <f>IFERROR(VLOOKUP(E31,'[11]SAP Input-BS'!$A$5:$E$500,5,0),0)</f>
        <v>236003566.03999999</v>
      </c>
      <c r="L31" s="27">
        <v>230751899.13999999</v>
      </c>
    </row>
    <row r="32" spans="1:12">
      <c r="A32" s="1" t="s">
        <v>264</v>
      </c>
      <c r="B32" s="2" t="s">
        <v>23</v>
      </c>
      <c r="C32" s="1" t="s">
        <v>638</v>
      </c>
      <c r="D32" s="3" t="s">
        <v>66</v>
      </c>
      <c r="E32" s="7" t="s">
        <v>67</v>
      </c>
      <c r="F32" s="27">
        <f>IFERROR(VLOOKUP(E32,'[9]SAP Input-BS'!$A$5:$F$502,5,0),0)</f>
        <v>0</v>
      </c>
      <c r="G32" s="27">
        <f>IFERROR(VLOOKUP(E32,'[10]SAP Input-BS'!$A$5:$F$500,5,0),0)</f>
        <v>0</v>
      </c>
      <c r="H32" s="73">
        <f t="shared" si="0"/>
        <v>0</v>
      </c>
      <c r="I32" s="73"/>
      <c r="K32" s="27">
        <f>IFERROR(VLOOKUP(E32,'[11]SAP Input-BS'!$A$5:$E$500,5,0),0)</f>
        <v>0</v>
      </c>
      <c r="L32" s="27">
        <v>0</v>
      </c>
    </row>
    <row r="33" spans="1:12">
      <c r="A33" s="1" t="s">
        <v>264</v>
      </c>
      <c r="B33" s="2" t="s">
        <v>23</v>
      </c>
      <c r="C33" s="1" t="s">
        <v>639</v>
      </c>
      <c r="D33" s="3" t="s">
        <v>68</v>
      </c>
      <c r="E33" s="7" t="s">
        <v>69</v>
      </c>
      <c r="F33" s="27">
        <f>IFERROR(VLOOKUP(E33,'[9]SAP Input-BS'!$A$5:$F$502,5,0),0)</f>
        <v>0</v>
      </c>
      <c r="G33" s="27">
        <f>IFERROR(VLOOKUP(E33,'[10]SAP Input-BS'!$A$5:$F$500,5,0),0)</f>
        <v>0</v>
      </c>
      <c r="H33" s="73">
        <f t="shared" si="0"/>
        <v>0</v>
      </c>
      <c r="I33" s="73"/>
      <c r="K33" s="27">
        <f>IFERROR(VLOOKUP(E33,'[11]SAP Input-BS'!$A$5:$E$500,5,0),0)</f>
        <v>0</v>
      </c>
      <c r="L33" s="27">
        <v>0</v>
      </c>
    </row>
    <row r="34" spans="1:12">
      <c r="A34" s="1" t="s">
        <v>264</v>
      </c>
      <c r="B34" s="2" t="s">
        <v>23</v>
      </c>
      <c r="C34" s="1" t="s">
        <v>640</v>
      </c>
      <c r="D34" s="3" t="s">
        <v>70</v>
      </c>
      <c r="E34" s="7" t="s">
        <v>71</v>
      </c>
      <c r="F34" s="27">
        <f>IFERROR(VLOOKUP(E34,'[9]SAP Input-BS'!$A$5:$F$502,5,0),0)</f>
        <v>0</v>
      </c>
      <c r="G34" s="27">
        <f>IFERROR(VLOOKUP(E34,'[10]SAP Input-BS'!$A$5:$F$500,5,0),0)</f>
        <v>0</v>
      </c>
      <c r="H34" s="73">
        <f t="shared" si="0"/>
        <v>0</v>
      </c>
      <c r="I34" s="73"/>
      <c r="K34" s="27">
        <f>IFERROR(VLOOKUP(E34,'[11]SAP Input-BS'!$A$5:$E$500,5,0),0)</f>
        <v>0</v>
      </c>
      <c r="L34" s="27">
        <v>0</v>
      </c>
    </row>
    <row r="35" spans="1:12">
      <c r="A35" s="1" t="s">
        <v>264</v>
      </c>
      <c r="B35" s="2" t="s">
        <v>23</v>
      </c>
      <c r="C35" s="1" t="s">
        <v>641</v>
      </c>
      <c r="D35" s="3" t="s">
        <v>72</v>
      </c>
      <c r="E35" s="7" t="s">
        <v>73</v>
      </c>
      <c r="F35" s="63">
        <f>IFERROR(VLOOKUP(E35,'[9]SAP Input-BS'!$A$5:$F$502,5,0),0)</f>
        <v>532671492.81</v>
      </c>
      <c r="G35" s="63">
        <f>IFERROR(VLOOKUP(E35,'[10]SAP Input-BS'!$A$5:$F$500,5,0),0)</f>
        <v>276220400.81</v>
      </c>
      <c r="H35" s="75">
        <f t="shared" si="0"/>
        <v>256451092</v>
      </c>
      <c r="I35" s="73"/>
      <c r="J35" t="s">
        <v>627</v>
      </c>
      <c r="K35" s="27">
        <f>IFERROR(VLOOKUP(E35,'[11]SAP Input-BS'!$A$5:$E$500,5,0),0)</f>
        <v>210898571.81</v>
      </c>
      <c r="L35" s="63">
        <v>9002499500.7999992</v>
      </c>
    </row>
    <row r="36" spans="1:12">
      <c r="A36" s="1" t="s">
        <v>264</v>
      </c>
      <c r="B36" s="2" t="s">
        <v>23</v>
      </c>
      <c r="C36" s="1" t="s">
        <v>642</v>
      </c>
      <c r="D36" s="3" t="s">
        <v>74</v>
      </c>
      <c r="E36" s="7" t="s">
        <v>75</v>
      </c>
      <c r="F36" s="27">
        <f>IFERROR(VLOOKUP(E36,'[9]SAP Input-BS'!$A$5:$F$502,5,0),0)</f>
        <v>0</v>
      </c>
      <c r="G36" s="27">
        <f>IFERROR(VLOOKUP(E36,'[10]SAP Input-BS'!$A$5:$F$500,5,0),0)</f>
        <v>0</v>
      </c>
      <c r="H36" s="73">
        <f t="shared" si="0"/>
        <v>0</v>
      </c>
      <c r="I36" s="73"/>
      <c r="J36" s="62"/>
      <c r="K36" s="27">
        <f>IFERROR(VLOOKUP(E36,'[11]SAP Input-BS'!$A$5:$E$500,5,0),0)</f>
        <v>0</v>
      </c>
      <c r="L36" s="27">
        <v>0</v>
      </c>
    </row>
    <row r="37" spans="1:12">
      <c r="A37" s="1" t="s">
        <v>264</v>
      </c>
      <c r="B37" s="2" t="s">
        <v>23</v>
      </c>
      <c r="C37" s="1" t="s">
        <v>643</v>
      </c>
      <c r="D37" s="3" t="s">
        <v>76</v>
      </c>
      <c r="E37" s="7" t="s">
        <v>77</v>
      </c>
      <c r="F37" s="27">
        <f>IFERROR(VLOOKUP(E37,'[9]SAP Input-BS'!$A$5:$F$502,5,0),0)</f>
        <v>58775</v>
      </c>
      <c r="G37" s="27">
        <f>IFERROR(VLOOKUP(E37,'[10]SAP Input-BS'!$A$5:$F$500,5,0),0)</f>
        <v>46786</v>
      </c>
      <c r="H37" s="73">
        <f t="shared" si="0"/>
        <v>11989</v>
      </c>
      <c r="I37" s="73"/>
      <c r="K37" s="27">
        <f>IFERROR(VLOOKUP(E37,'[11]SAP Input-BS'!$A$5:$E$500,5,0),0)</f>
        <v>11142113</v>
      </c>
      <c r="L37" s="27">
        <v>21800084.620000001</v>
      </c>
    </row>
    <row r="38" spans="1:12">
      <c r="A38" s="1" t="s">
        <v>264</v>
      </c>
      <c r="B38" s="2" t="s">
        <v>23</v>
      </c>
      <c r="C38" s="1" t="s">
        <v>644</v>
      </c>
      <c r="D38" s="3" t="s">
        <v>78</v>
      </c>
      <c r="E38" s="7" t="s">
        <v>79</v>
      </c>
      <c r="F38" s="27">
        <f>IFERROR(VLOOKUP(E38,'[9]SAP Input-BS'!$A$5:$F$502,5,0),0)</f>
        <v>1721239.38</v>
      </c>
      <c r="G38" s="27">
        <f>IFERROR(VLOOKUP(E38,'[10]SAP Input-BS'!$A$5:$F$500,5,0),0)</f>
        <v>1284707.07</v>
      </c>
      <c r="H38" s="73">
        <f t="shared" si="0"/>
        <v>436532.30999999982</v>
      </c>
      <c r="I38" s="73"/>
      <c r="K38" s="27">
        <f>IFERROR(VLOOKUP(E38,'[11]SAP Input-BS'!$A$5:$E$500,5,0),0)</f>
        <v>119086.89</v>
      </c>
      <c r="L38" s="27">
        <v>462724.78</v>
      </c>
    </row>
    <row r="39" spans="1:12">
      <c r="A39" s="1" t="s">
        <v>264</v>
      </c>
      <c r="B39" s="2" t="s">
        <v>23</v>
      </c>
      <c r="D39" s="3" t="s">
        <v>80</v>
      </c>
      <c r="E39" s="7" t="s">
        <v>81</v>
      </c>
      <c r="F39" s="27">
        <f>IFERROR(VLOOKUP(E39,'[9]SAP Input-BS'!$A$5:$F$502,5,0),0)</f>
        <v>0</v>
      </c>
      <c r="G39" s="27">
        <f>IFERROR(VLOOKUP(E39,'[10]SAP Input-BS'!$A$5:$F$500,5,0),0)</f>
        <v>0</v>
      </c>
      <c r="H39" s="73">
        <f t="shared" si="0"/>
        <v>0</v>
      </c>
      <c r="I39" s="73"/>
      <c r="K39" s="27">
        <f>IFERROR(VLOOKUP(E39,'[11]SAP Input-BS'!$A$5:$E$500,5,0),0)</f>
        <v>0</v>
      </c>
      <c r="L39" s="27">
        <v>0</v>
      </c>
    </row>
    <row r="40" spans="1:12">
      <c r="A40" s="1" t="s">
        <v>264</v>
      </c>
      <c r="B40" s="2" t="s">
        <v>23</v>
      </c>
      <c r="D40" s="3" t="s">
        <v>82</v>
      </c>
      <c r="E40" s="7" t="s">
        <v>83</v>
      </c>
      <c r="F40" s="27">
        <f>IFERROR(VLOOKUP(E40,'[9]SAP Input-BS'!$A$5:$F$502,5,0),0)</f>
        <v>0</v>
      </c>
      <c r="G40" s="27">
        <f>IFERROR(VLOOKUP(E40,'[10]SAP Input-BS'!$A$5:$F$500,5,0),0)</f>
        <v>0</v>
      </c>
      <c r="H40" s="73">
        <f t="shared" si="0"/>
        <v>0</v>
      </c>
      <c r="I40" s="73"/>
      <c r="K40" s="27">
        <f>IFERROR(VLOOKUP(E40,'[11]SAP Input-BS'!$A$5:$E$500,5,0),0)</f>
        <v>0</v>
      </c>
      <c r="L40" s="27">
        <v>0</v>
      </c>
    </row>
    <row r="41" spans="1:12">
      <c r="A41" s="1" t="s">
        <v>264</v>
      </c>
      <c r="B41" s="2" t="s">
        <v>23</v>
      </c>
      <c r="C41" s="1" t="s">
        <v>645</v>
      </c>
      <c r="D41" s="3" t="s">
        <v>84</v>
      </c>
      <c r="E41" s="7" t="s">
        <v>85</v>
      </c>
      <c r="F41" s="27">
        <f>IFERROR(VLOOKUP(E41,'[9]SAP Input-BS'!$A$5:$F$502,5,0),0)</f>
        <v>0</v>
      </c>
      <c r="G41" s="27">
        <f>IFERROR(VLOOKUP(E41,'[10]SAP Input-BS'!$A$5:$F$500,5,0),0)</f>
        <v>2100157</v>
      </c>
      <c r="H41" s="73">
        <f t="shared" si="0"/>
        <v>-2100157</v>
      </c>
      <c r="I41" s="73"/>
      <c r="K41" s="27">
        <f>IFERROR(VLOOKUP(E41,'[11]SAP Input-BS'!$A$5:$E$500,5,0),0)</f>
        <v>1731827.79</v>
      </c>
      <c r="L41" s="27">
        <v>1731827.79</v>
      </c>
    </row>
    <row r="42" spans="1:12">
      <c r="A42" s="1" t="s">
        <v>264</v>
      </c>
      <c r="B42" s="2" t="s">
        <v>23</v>
      </c>
      <c r="D42" s="3" t="s">
        <v>86</v>
      </c>
      <c r="E42" s="7" t="s">
        <v>87</v>
      </c>
      <c r="F42" s="27">
        <f>IFERROR(VLOOKUP(E42,'[9]SAP Input-BS'!$A$5:$F$502,5,0),0)</f>
        <v>0</v>
      </c>
      <c r="G42" s="27">
        <f>IFERROR(VLOOKUP(E42,'[10]SAP Input-BS'!$A$5:$F$500,5,0),0)</f>
        <v>0</v>
      </c>
      <c r="H42" s="73">
        <f t="shared" si="0"/>
        <v>0</v>
      </c>
      <c r="I42" s="73"/>
      <c r="K42" s="27">
        <f>IFERROR(VLOOKUP(E42,'[11]SAP Input-BS'!$A$5:$E$500,5,0),0)</f>
        <v>0</v>
      </c>
      <c r="L42" s="27">
        <v>0</v>
      </c>
    </row>
    <row r="43" spans="1:12">
      <c r="A43" s="1" t="s">
        <v>264</v>
      </c>
      <c r="B43" s="2" t="s">
        <v>23</v>
      </c>
      <c r="D43" s="3" t="s">
        <v>88</v>
      </c>
      <c r="E43" s="7" t="s">
        <v>89</v>
      </c>
      <c r="F43" s="27">
        <f>IFERROR(VLOOKUP(E43,'[9]SAP Input-BS'!$A$5:$F$502,5,0),0)</f>
        <v>0</v>
      </c>
      <c r="G43" s="27">
        <f>IFERROR(VLOOKUP(E43,'[10]SAP Input-BS'!$A$5:$F$500,5,0),0)</f>
        <v>0</v>
      </c>
      <c r="H43" s="73">
        <f t="shared" si="0"/>
        <v>0</v>
      </c>
      <c r="I43" s="73"/>
      <c r="K43" s="27">
        <f>IFERROR(VLOOKUP(E43,'[11]SAP Input-BS'!$A$5:$E$500,5,0),0)</f>
        <v>0</v>
      </c>
      <c r="L43" s="27">
        <v>0</v>
      </c>
    </row>
    <row r="44" spans="1:12">
      <c r="A44" s="1" t="s">
        <v>264</v>
      </c>
      <c r="B44" s="2" t="s">
        <v>23</v>
      </c>
      <c r="D44" s="3" t="s">
        <v>90</v>
      </c>
      <c r="E44" s="7" t="s">
        <v>91</v>
      </c>
      <c r="F44" s="27">
        <f>IFERROR(VLOOKUP(E44,'[9]SAP Input-BS'!$A$5:$F$502,5,0),0)</f>
        <v>0</v>
      </c>
      <c r="G44" s="27">
        <f>IFERROR(VLOOKUP(E44,'[10]SAP Input-BS'!$A$5:$F$500,5,0),0)</f>
        <v>0</v>
      </c>
      <c r="H44" s="73">
        <f t="shared" si="0"/>
        <v>0</v>
      </c>
      <c r="I44" s="73"/>
      <c r="K44" s="27">
        <f>IFERROR(VLOOKUP(E44,'[11]SAP Input-BS'!$A$5:$E$500,5,0),0)</f>
        <v>0</v>
      </c>
      <c r="L44" s="27">
        <v>0</v>
      </c>
    </row>
    <row r="45" spans="1:12">
      <c r="A45" s="1" t="s">
        <v>264</v>
      </c>
      <c r="B45" s="2" t="s">
        <v>23</v>
      </c>
      <c r="D45" s="3" t="s">
        <v>92</v>
      </c>
      <c r="E45" s="7" t="s">
        <v>93</v>
      </c>
      <c r="F45" s="27">
        <f>IFERROR(VLOOKUP(E45,'[9]SAP Input-BS'!$A$5:$F$502,5,0),0)</f>
        <v>0</v>
      </c>
      <c r="G45" s="27">
        <f>IFERROR(VLOOKUP(E45,'[10]SAP Input-BS'!$A$5:$F$500,5,0),0)</f>
        <v>0</v>
      </c>
      <c r="H45" s="73">
        <f t="shared" si="0"/>
        <v>0</v>
      </c>
      <c r="I45" s="73"/>
      <c r="K45" s="27">
        <f>IFERROR(VLOOKUP(E45,'[11]SAP Input-BS'!$A$5:$E$500,5,0),0)</f>
        <v>0</v>
      </c>
      <c r="L45" s="27">
        <v>0</v>
      </c>
    </row>
    <row r="46" spans="1:12">
      <c r="A46" s="1" t="s">
        <v>264</v>
      </c>
      <c r="B46" s="2" t="s">
        <v>23</v>
      </c>
      <c r="D46" s="3" t="s">
        <v>94</v>
      </c>
      <c r="E46" s="7" t="s">
        <v>95</v>
      </c>
      <c r="F46" s="27">
        <f>IFERROR(VLOOKUP(E46,'[9]SAP Input-BS'!$A$5:$F$502,5,0),0)</f>
        <v>0</v>
      </c>
      <c r="G46" s="27">
        <f>IFERROR(VLOOKUP(E46,'[10]SAP Input-BS'!$A$5:$F$500,5,0),0)</f>
        <v>0</v>
      </c>
      <c r="H46" s="73">
        <f t="shared" si="0"/>
        <v>0</v>
      </c>
      <c r="I46" s="73"/>
      <c r="K46" s="27">
        <f>IFERROR(VLOOKUP(E46,'[11]SAP Input-BS'!$A$5:$E$500,5,0),0)</f>
        <v>0</v>
      </c>
      <c r="L46" s="27">
        <v>0</v>
      </c>
    </row>
    <row r="47" spans="1:12">
      <c r="A47" s="1" t="s">
        <v>264</v>
      </c>
      <c r="B47" s="2" t="s">
        <v>23</v>
      </c>
      <c r="D47" s="3" t="s">
        <v>96</v>
      </c>
      <c r="E47" s="10" t="s">
        <v>97</v>
      </c>
      <c r="F47" s="27">
        <f>IFERROR(VLOOKUP(E47,'[9]SAP Input-BS'!$A$5:$F$502,5,0),0)</f>
        <v>0</v>
      </c>
      <c r="G47" s="27">
        <f>IFERROR(VLOOKUP(E47,'[10]SAP Input-BS'!$A$5:$F$500,5,0),0)</f>
        <v>0</v>
      </c>
      <c r="H47" s="73">
        <f t="shared" si="0"/>
        <v>0</v>
      </c>
      <c r="I47" s="73"/>
      <c r="K47" s="27">
        <f>IFERROR(VLOOKUP(E47,'[11]SAP Input-BS'!$A$5:$E$500,5,0),0)</f>
        <v>0</v>
      </c>
      <c r="L47" s="27">
        <v>0</v>
      </c>
    </row>
    <row r="48" spans="1:12" s="19" customFormat="1">
      <c r="A48" s="19" t="s">
        <v>264</v>
      </c>
      <c r="B48" s="20" t="s">
        <v>23</v>
      </c>
      <c r="C48" s="19" t="s">
        <v>23</v>
      </c>
      <c r="D48" s="53" t="s">
        <v>98</v>
      </c>
      <c r="E48" s="21" t="s">
        <v>99</v>
      </c>
      <c r="F48" s="28">
        <f>IFERROR(VLOOKUP(E48,'[9]SAP Input-BS'!$A$5:$F$502,5,0),0)</f>
        <v>19275100299.459999</v>
      </c>
      <c r="G48" s="28">
        <f>IFERROR(VLOOKUP(E48,'[10]SAP Input-BS'!$A$5:$F$500,5,0),0)</f>
        <v>20605858901.52</v>
      </c>
      <c r="H48" s="74">
        <f t="shared" si="0"/>
        <v>-1330758602.0600014</v>
      </c>
      <c r="I48" s="74"/>
      <c r="K48" s="31">
        <f>IFERROR(VLOOKUP(E48,'[11]SAP Input-BS'!$A$5:$E$500,5,0),0)</f>
        <v>26478047460.220001</v>
      </c>
      <c r="L48" s="28">
        <v>26309269815.27</v>
      </c>
    </row>
    <row r="49" spans="1:12">
      <c r="A49" s="1" t="s">
        <v>264</v>
      </c>
      <c r="B49" s="1" t="s">
        <v>266</v>
      </c>
      <c r="D49" s="3" t="s">
        <v>100</v>
      </c>
      <c r="E49" s="9" t="s">
        <v>101</v>
      </c>
      <c r="F49" s="27">
        <f>IFERROR(VLOOKUP(E49,'[9]SAP Input-BS'!$A$5:$F$502,5,0),0)</f>
        <v>0</v>
      </c>
      <c r="G49" s="27">
        <f>IFERROR(VLOOKUP(E49,'[10]SAP Input-BS'!$A$5:$F$500,5,0),0)</f>
        <v>0</v>
      </c>
      <c r="H49" s="73">
        <f t="shared" si="0"/>
        <v>0</v>
      </c>
      <c r="I49" s="73"/>
      <c r="K49" s="27">
        <f>IFERROR(VLOOKUP(E49,'[11]SAP Input-BS'!$A$5:$E$500,5,0),0)</f>
        <v>0</v>
      </c>
      <c r="L49" s="27">
        <v>0</v>
      </c>
    </row>
    <row r="50" spans="1:12">
      <c r="A50" s="1" t="s">
        <v>264</v>
      </c>
      <c r="B50" s="1" t="s">
        <v>266</v>
      </c>
      <c r="D50" s="3" t="s">
        <v>102</v>
      </c>
      <c r="E50" s="7" t="s">
        <v>103</v>
      </c>
      <c r="F50" s="27">
        <f>IFERROR(VLOOKUP(E50,'[9]SAP Input-BS'!$A$5:$F$502,5,0),0)</f>
        <v>0</v>
      </c>
      <c r="G50" s="27">
        <f>IFERROR(VLOOKUP(E50,'[10]SAP Input-BS'!$A$5:$F$500,5,0),0)</f>
        <v>0</v>
      </c>
      <c r="H50" s="73">
        <f t="shared" si="0"/>
        <v>0</v>
      </c>
      <c r="I50" s="73"/>
      <c r="K50" s="27">
        <f>IFERROR(VLOOKUP(E50,'[11]SAP Input-BS'!$A$5:$E$500,5,0),0)</f>
        <v>0</v>
      </c>
      <c r="L50" s="27">
        <v>0</v>
      </c>
    </row>
    <row r="51" spans="1:12">
      <c r="A51" s="1" t="s">
        <v>264</v>
      </c>
      <c r="B51" s="1" t="s">
        <v>266</v>
      </c>
      <c r="D51" s="3" t="s">
        <v>104</v>
      </c>
      <c r="E51" s="7" t="s">
        <v>105</v>
      </c>
      <c r="F51" s="27">
        <f>IFERROR(VLOOKUP(E51,'[9]SAP Input-BS'!$A$5:$F$502,5,0),0)</f>
        <v>0</v>
      </c>
      <c r="G51" s="27">
        <f>IFERROR(VLOOKUP(E51,'[10]SAP Input-BS'!$A$5:$F$500,5,0),0)</f>
        <v>0</v>
      </c>
      <c r="H51" s="73">
        <f t="shared" si="0"/>
        <v>0</v>
      </c>
      <c r="I51" s="73"/>
      <c r="K51" s="27">
        <f>IFERROR(VLOOKUP(E51,'[11]SAP Input-BS'!$A$5:$E$500,5,0),0)</f>
        <v>0</v>
      </c>
      <c r="L51" s="27">
        <v>0</v>
      </c>
    </row>
    <row r="52" spans="1:12">
      <c r="A52" s="1" t="s">
        <v>264</v>
      </c>
      <c r="B52" s="1" t="s">
        <v>266</v>
      </c>
      <c r="D52" s="3" t="s">
        <v>106</v>
      </c>
      <c r="E52" s="7" t="s">
        <v>107</v>
      </c>
      <c r="F52" s="27">
        <f>IFERROR(VLOOKUP(E52,'[9]SAP Input-BS'!$A$5:$F$502,5,0),0)</f>
        <v>0</v>
      </c>
      <c r="G52" s="27">
        <f>IFERROR(VLOOKUP(E52,'[10]SAP Input-BS'!$A$5:$F$500,5,0),0)</f>
        <v>0</v>
      </c>
      <c r="H52" s="73">
        <f t="shared" si="0"/>
        <v>0</v>
      </c>
      <c r="I52" s="73"/>
      <c r="K52" s="27">
        <f>IFERROR(VLOOKUP(E52,'[11]SAP Input-BS'!$A$5:$E$500,5,0),0)</f>
        <v>0</v>
      </c>
      <c r="L52" s="27">
        <v>0</v>
      </c>
    </row>
    <row r="53" spans="1:12" s="19" customFormat="1">
      <c r="A53" s="19" t="s">
        <v>264</v>
      </c>
      <c r="B53" s="19" t="s">
        <v>266</v>
      </c>
      <c r="C53" s="19" t="s">
        <v>266</v>
      </c>
      <c r="D53" s="53" t="s">
        <v>108</v>
      </c>
      <c r="E53" s="21" t="s">
        <v>109</v>
      </c>
      <c r="F53" s="28">
        <f>IFERROR(VLOOKUP(E53,'[9]SAP Input-BS'!$A$5:$F$502,5,0),0)</f>
        <v>0</v>
      </c>
      <c r="G53" s="28">
        <f>IFERROR(VLOOKUP(E53,'[10]SAP Input-BS'!$A$5:$F$500,5,0),0)</f>
        <v>0</v>
      </c>
      <c r="H53" s="74">
        <f t="shared" si="0"/>
        <v>0</v>
      </c>
      <c r="I53" s="74"/>
      <c r="K53" s="31">
        <f>IFERROR(VLOOKUP(E53,'[11]SAP Input-BS'!$A$5:$E$500,5,0),0)</f>
        <v>0</v>
      </c>
      <c r="L53" s="28">
        <v>0</v>
      </c>
    </row>
    <row r="54" spans="1:12">
      <c r="A54" s="1" t="s">
        <v>264</v>
      </c>
      <c r="B54" s="1" t="s">
        <v>110</v>
      </c>
      <c r="C54" s="1" t="s">
        <v>110</v>
      </c>
      <c r="D54" s="3" t="s">
        <v>110</v>
      </c>
      <c r="E54" s="9" t="s">
        <v>111</v>
      </c>
      <c r="F54" s="27">
        <f>IFERROR(VLOOKUP(E54,'[9]SAP Input-BS'!$A$5:$F$502,5,0),0)</f>
        <v>0</v>
      </c>
      <c r="G54" s="27">
        <f>IFERROR(VLOOKUP(E54,'[10]SAP Input-BS'!$A$5:$F$500,5,0),0)</f>
        <v>-229921.71</v>
      </c>
      <c r="H54" s="73">
        <f t="shared" si="0"/>
        <v>229921.71</v>
      </c>
      <c r="I54" s="73"/>
      <c r="K54" s="27">
        <f>IFERROR(VLOOKUP(E54,'[11]SAP Input-BS'!$A$5:$E$500,5,0),0)</f>
        <v>1751744318.6199999</v>
      </c>
      <c r="L54" s="27">
        <v>42030079.710000001</v>
      </c>
    </row>
    <row r="55" spans="1:12" s="19" customFormat="1">
      <c r="A55" s="19" t="s">
        <v>264</v>
      </c>
      <c r="B55" s="19" t="s">
        <v>110</v>
      </c>
      <c r="C55" s="19" t="s">
        <v>110</v>
      </c>
      <c r="D55" s="53" t="s">
        <v>112</v>
      </c>
      <c r="E55" s="21" t="s">
        <v>113</v>
      </c>
      <c r="F55" s="28">
        <f>IFERROR(VLOOKUP(E55,'[9]SAP Input-BS'!$A$5:$F$502,5,0),0)</f>
        <v>0</v>
      </c>
      <c r="G55" s="28">
        <f>IFERROR(VLOOKUP(E55,'[10]SAP Input-BS'!$A$5:$F$500,5,0),0)</f>
        <v>-229921.71</v>
      </c>
      <c r="H55" s="74">
        <f t="shared" si="0"/>
        <v>229921.71</v>
      </c>
      <c r="I55" s="74"/>
      <c r="K55" s="31">
        <f>IFERROR(VLOOKUP(E55,'[11]SAP Input-BS'!$A$5:$E$500,5,0),0)</f>
        <v>1751744318.6199999</v>
      </c>
      <c r="L55" s="28">
        <v>42030079.710000001</v>
      </c>
    </row>
    <row r="56" spans="1:12">
      <c r="A56" s="1" t="s">
        <v>264</v>
      </c>
      <c r="B56" s="2" t="s">
        <v>114</v>
      </c>
      <c r="C56" s="1" t="s">
        <v>646</v>
      </c>
      <c r="D56" s="3" t="s">
        <v>115</v>
      </c>
      <c r="E56" s="9" t="s">
        <v>116</v>
      </c>
      <c r="F56" s="27">
        <f>IFERROR(VLOOKUP(E56,'[9]SAP Input-BS'!$A$5:$F$502,5,0),0)</f>
        <v>219275331</v>
      </c>
      <c r="G56" s="27">
        <f>IFERROR(VLOOKUP(E56,'[10]SAP Input-BS'!$A$5:$F$500,5,0),0)</f>
        <v>323015395</v>
      </c>
      <c r="H56" s="73">
        <f t="shared" si="0"/>
        <v>-103740064</v>
      </c>
      <c r="I56" s="73"/>
      <c r="K56" s="27">
        <f>IFERROR(VLOOKUP(E56,'[11]SAP Input-BS'!$A$5:$E$500,5,0),0)</f>
        <v>138052693.50999999</v>
      </c>
      <c r="L56" s="27">
        <v>533452119.25</v>
      </c>
    </row>
    <row r="57" spans="1:12">
      <c r="A57" s="1" t="s">
        <v>264</v>
      </c>
      <c r="B57" s="2" t="s">
        <v>114</v>
      </c>
      <c r="D57" s="3" t="s">
        <v>117</v>
      </c>
      <c r="E57" s="7" t="s">
        <v>118</v>
      </c>
      <c r="F57" s="27">
        <f>IFERROR(VLOOKUP(E57,'[9]SAP Input-BS'!$A$5:$F$502,5,0),0)</f>
        <v>0</v>
      </c>
      <c r="G57" s="27">
        <f>IFERROR(VLOOKUP(E57,'[10]SAP Input-BS'!$A$5:$F$500,5,0),0)</f>
        <v>0</v>
      </c>
      <c r="H57" s="73">
        <f t="shared" si="0"/>
        <v>0</v>
      </c>
      <c r="I57" s="73"/>
      <c r="K57" s="27">
        <f>IFERROR(VLOOKUP(E57,'[11]SAP Input-BS'!$A$5:$E$500,5,0),0)</f>
        <v>0</v>
      </c>
      <c r="L57" s="27">
        <v>0</v>
      </c>
    </row>
    <row r="58" spans="1:12">
      <c r="A58" s="1" t="s">
        <v>264</v>
      </c>
      <c r="B58" s="2" t="s">
        <v>114</v>
      </c>
      <c r="D58" s="3" t="s">
        <v>119</v>
      </c>
      <c r="E58" s="7" t="s">
        <v>120</v>
      </c>
      <c r="F58" s="27">
        <f>IFERROR(VLOOKUP(E58,'[9]SAP Input-BS'!$A$5:$F$502,5,0),0)</f>
        <v>0</v>
      </c>
      <c r="G58" s="27">
        <f>IFERROR(VLOOKUP(E58,'[10]SAP Input-BS'!$A$5:$F$500,5,0),0)</f>
        <v>0</v>
      </c>
      <c r="H58" s="73">
        <f t="shared" si="0"/>
        <v>0</v>
      </c>
      <c r="I58" s="73"/>
      <c r="K58" s="27">
        <f>IFERROR(VLOOKUP(E58,'[11]SAP Input-BS'!$A$5:$E$500,5,0),0)</f>
        <v>0</v>
      </c>
      <c r="L58" s="27">
        <v>0</v>
      </c>
    </row>
    <row r="59" spans="1:12">
      <c r="A59" s="1" t="s">
        <v>264</v>
      </c>
      <c r="B59" s="2" t="s">
        <v>114</v>
      </c>
      <c r="C59" s="1" t="s">
        <v>647</v>
      </c>
      <c r="D59" s="3" t="s">
        <v>121</v>
      </c>
      <c r="E59" s="7" t="s">
        <v>122</v>
      </c>
      <c r="F59" s="27">
        <f>IFERROR(VLOOKUP(E59,'[9]SAP Input-BS'!$A$5:$F$502,5,0),0)</f>
        <v>3610388.8</v>
      </c>
      <c r="G59" s="27">
        <f>IFERROR(VLOOKUP(E59,'[10]SAP Input-BS'!$A$5:$F$500,5,0),0)</f>
        <v>-16945483.41</v>
      </c>
      <c r="H59" s="73">
        <f t="shared" si="0"/>
        <v>20555872.210000001</v>
      </c>
      <c r="I59" s="73"/>
      <c r="K59" s="27">
        <f>IFERROR(VLOOKUP(E59,'[11]SAP Input-BS'!$A$5:$E$500,5,0),0)</f>
        <v>4713224.0599999996</v>
      </c>
      <c r="L59" s="27">
        <v>3724193.37</v>
      </c>
    </row>
    <row r="60" spans="1:12">
      <c r="A60" s="1" t="s">
        <v>264</v>
      </c>
      <c r="B60" s="2" t="s">
        <v>114</v>
      </c>
      <c r="D60" s="3" t="s">
        <v>123</v>
      </c>
      <c r="E60" s="7" t="s">
        <v>124</v>
      </c>
      <c r="F60" s="63">
        <f>IFERROR(VLOOKUP(E60,'[9]SAP Input-BS'!$A$5:$F$502,5,0),0)</f>
        <v>3305554.41</v>
      </c>
      <c r="G60" s="63">
        <f>IFERROR(VLOOKUP(E60,'[10]SAP Input-BS'!$A$5:$F$500,5,0),0)</f>
        <v>8138.41</v>
      </c>
      <c r="H60" s="75">
        <f t="shared" si="0"/>
        <v>3297416</v>
      </c>
      <c r="I60" s="73"/>
      <c r="K60" s="27">
        <f>IFERROR(VLOOKUP(E60,'[11]SAP Input-BS'!$A$5:$E$500,5,0),0)</f>
        <v>8138.41</v>
      </c>
      <c r="L60" s="27">
        <v>8138</v>
      </c>
    </row>
    <row r="61" spans="1:12">
      <c r="A61" s="1" t="s">
        <v>264</v>
      </c>
      <c r="B61" s="2" t="s">
        <v>114</v>
      </c>
      <c r="D61" s="3" t="s">
        <v>125</v>
      </c>
      <c r="E61" s="7" t="s">
        <v>126</v>
      </c>
      <c r="F61" s="27">
        <f>IFERROR(VLOOKUP(E61,'[9]SAP Input-BS'!$A$5:$F$502,5,0),0)</f>
        <v>0</v>
      </c>
      <c r="G61" s="27">
        <f>IFERROR(VLOOKUP(E61,'[10]SAP Input-BS'!$A$5:$F$500,5,0),0)</f>
        <v>0</v>
      </c>
      <c r="H61" s="73">
        <f t="shared" si="0"/>
        <v>0</v>
      </c>
      <c r="I61" s="73"/>
      <c r="K61" s="27">
        <f>IFERROR(VLOOKUP(E61,'[11]SAP Input-BS'!$A$5:$E$500,5,0),0)</f>
        <v>0</v>
      </c>
      <c r="L61" s="27">
        <v>0</v>
      </c>
    </row>
    <row r="62" spans="1:12">
      <c r="A62" s="1" t="s">
        <v>264</v>
      </c>
      <c r="B62" s="2" t="s">
        <v>114</v>
      </c>
      <c r="D62" s="3" t="s">
        <v>127</v>
      </c>
      <c r="E62" s="7" t="s">
        <v>128</v>
      </c>
      <c r="F62" s="63">
        <f>IFERROR(VLOOKUP(E62,'[9]SAP Input-BS'!$A$5:$F$502,5,0),0)</f>
        <v>132174636.81999999</v>
      </c>
      <c r="G62" s="63">
        <f>IFERROR(VLOOKUP(E62,'[10]SAP Input-BS'!$A$5:$F$500,5,0),0)</f>
        <v>62300474.619999997</v>
      </c>
      <c r="H62" s="75">
        <f t="shared" si="0"/>
        <v>69874162.199999988</v>
      </c>
      <c r="I62" s="73"/>
      <c r="K62" s="27">
        <f>IFERROR(VLOOKUP(E62,'[11]SAP Input-BS'!$A$5:$E$500,5,0),0)</f>
        <v>164455498.31</v>
      </c>
      <c r="L62" s="27">
        <v>146224421.59</v>
      </c>
    </row>
    <row r="63" spans="1:12">
      <c r="A63" s="1" t="s">
        <v>264</v>
      </c>
      <c r="B63" s="2" t="s">
        <v>114</v>
      </c>
      <c r="D63" s="3" t="s">
        <v>129</v>
      </c>
      <c r="E63" s="7" t="s">
        <v>130</v>
      </c>
      <c r="F63" s="63">
        <f>IFERROR(VLOOKUP(E63,'[9]SAP Input-BS'!$A$5:$F$502,5,0),0)</f>
        <v>71307984.150000006</v>
      </c>
      <c r="G63" s="63">
        <f>IFERROR(VLOOKUP(E63,'[10]SAP Input-BS'!$A$5:$F$500,5,0),0)</f>
        <v>112288026.83</v>
      </c>
      <c r="H63" s="75">
        <f t="shared" si="0"/>
        <v>-40980042.679999992</v>
      </c>
      <c r="I63" s="73"/>
      <c r="K63" s="27">
        <f>IFERROR(VLOOKUP(E63,'[11]SAP Input-BS'!$A$5:$E$500,5,0),0)</f>
        <v>286610846.16000003</v>
      </c>
      <c r="L63" s="27">
        <v>136277234.06999999</v>
      </c>
    </row>
    <row r="64" spans="1:12">
      <c r="A64" s="1" t="s">
        <v>264</v>
      </c>
      <c r="B64" s="2" t="s">
        <v>114</v>
      </c>
      <c r="D64" s="3" t="s">
        <v>131</v>
      </c>
      <c r="E64" s="7" t="s">
        <v>132</v>
      </c>
      <c r="F64" s="27">
        <f>IFERROR(VLOOKUP(E64,'[9]SAP Input-BS'!$A$5:$F$502,5,0),0)</f>
        <v>0</v>
      </c>
      <c r="G64" s="27">
        <f>IFERROR(VLOOKUP(E64,'[10]SAP Input-BS'!$A$5:$F$500,5,0),0)</f>
        <v>0</v>
      </c>
      <c r="H64" s="73">
        <f t="shared" si="0"/>
        <v>0</v>
      </c>
      <c r="I64" s="73"/>
      <c r="K64" s="27">
        <f>IFERROR(VLOOKUP(E64,'[11]SAP Input-BS'!$A$5:$E$500,5,0),0)</f>
        <v>0</v>
      </c>
      <c r="L64" s="27">
        <v>0</v>
      </c>
    </row>
    <row r="65" spans="1:12">
      <c r="A65" s="1" t="s">
        <v>264</v>
      </c>
      <c r="B65" s="2" t="s">
        <v>114</v>
      </c>
      <c r="D65" s="3" t="s">
        <v>133</v>
      </c>
      <c r="E65" s="7" t="s">
        <v>134</v>
      </c>
      <c r="F65" s="27">
        <f>IFERROR(VLOOKUP(E65,'[9]SAP Input-BS'!$A$5:$F$502,5,0),0)</f>
        <v>0</v>
      </c>
      <c r="G65" s="27">
        <f>IFERROR(VLOOKUP(E65,'[10]SAP Input-BS'!$A$5:$F$500,5,0),0)</f>
        <v>0</v>
      </c>
      <c r="H65" s="73">
        <f t="shared" si="0"/>
        <v>0</v>
      </c>
      <c r="I65" s="73"/>
      <c r="K65" s="27">
        <f>IFERROR(VLOOKUP(E65,'[11]SAP Input-BS'!$A$5:$E$500,5,0),0)</f>
        <v>0</v>
      </c>
      <c r="L65" s="27">
        <v>0</v>
      </c>
    </row>
    <row r="66" spans="1:12">
      <c r="A66" s="1" t="s">
        <v>264</v>
      </c>
      <c r="B66" s="2" t="s">
        <v>114</v>
      </c>
      <c r="D66" s="3" t="s">
        <v>265</v>
      </c>
      <c r="E66" s="7" t="s">
        <v>135</v>
      </c>
      <c r="F66" s="27">
        <f>IFERROR(VLOOKUP(E66,'[9]SAP Input-BS'!$A$5:$F$502,5,0),0)</f>
        <v>0</v>
      </c>
      <c r="G66" s="27">
        <f>IFERROR(VLOOKUP(E66,'[10]SAP Input-BS'!$A$5:$F$500,5,0),0)</f>
        <v>0</v>
      </c>
      <c r="H66" s="73">
        <f t="shared" si="0"/>
        <v>0</v>
      </c>
      <c r="I66" s="73"/>
      <c r="K66" s="27">
        <f>IFERROR(VLOOKUP(E66,'[11]SAP Input-BS'!$A$5:$E$500,5,0),0)</f>
        <v>62449155.340000004</v>
      </c>
      <c r="L66" s="27">
        <v>0</v>
      </c>
    </row>
    <row r="67" spans="1:12">
      <c r="A67" s="1" t="s">
        <v>264</v>
      </c>
      <c r="B67" s="2" t="s">
        <v>114</v>
      </c>
      <c r="D67" s="3" t="s">
        <v>136</v>
      </c>
      <c r="E67" s="7" t="s">
        <v>137</v>
      </c>
      <c r="F67" s="27">
        <f>IFERROR(VLOOKUP(E67,'[9]SAP Input-BS'!$A$5:$F$502,5,0),0)</f>
        <v>0</v>
      </c>
      <c r="G67" s="27">
        <f>IFERROR(VLOOKUP(E67,'[10]SAP Input-BS'!$A$5:$F$500,5,0),0)</f>
        <v>0</v>
      </c>
      <c r="H67" s="73">
        <f t="shared" ref="H67:H128" si="1">F67-G67</f>
        <v>0</v>
      </c>
      <c r="I67" s="73"/>
      <c r="K67" s="27">
        <f>IFERROR(VLOOKUP(E67,'[11]SAP Input-BS'!$A$5:$E$500,5,0),0)</f>
        <v>0</v>
      </c>
      <c r="L67" s="27">
        <v>0</v>
      </c>
    </row>
    <row r="68" spans="1:12">
      <c r="A68" s="1" t="s">
        <v>264</v>
      </c>
      <c r="B68" s="2" t="s">
        <v>114</v>
      </c>
      <c r="D68" s="3" t="s">
        <v>138</v>
      </c>
      <c r="E68" s="7" t="s">
        <v>139</v>
      </c>
      <c r="F68" s="27">
        <f>IFERROR(VLOOKUP(E68,'[9]SAP Input-BS'!$A$5:$F$502,5,0),0)</f>
        <v>0</v>
      </c>
      <c r="G68" s="27">
        <f>IFERROR(VLOOKUP(E68,'[10]SAP Input-BS'!$A$5:$F$500,5,0),0)</f>
        <v>0</v>
      </c>
      <c r="H68" s="73">
        <f t="shared" si="1"/>
        <v>0</v>
      </c>
      <c r="I68" s="73"/>
      <c r="K68" s="27">
        <f>IFERROR(VLOOKUP(E68,'[11]SAP Input-BS'!$A$5:$E$500,5,0),0)</f>
        <v>0</v>
      </c>
      <c r="L68" s="27">
        <v>0</v>
      </c>
    </row>
    <row r="69" spans="1:12">
      <c r="A69" s="1" t="s">
        <v>264</v>
      </c>
      <c r="B69" s="2" t="s">
        <v>114</v>
      </c>
      <c r="D69" s="3" t="s">
        <v>140</v>
      </c>
      <c r="E69" s="7" t="s">
        <v>141</v>
      </c>
      <c r="F69" s="27">
        <f>IFERROR(VLOOKUP(E69,'[9]SAP Input-BS'!$A$5:$F$502,5,0),0)</f>
        <v>0</v>
      </c>
      <c r="G69" s="27">
        <f>IFERROR(VLOOKUP(E69,'[10]SAP Input-BS'!$A$5:$F$500,5,0),0)</f>
        <v>0</v>
      </c>
      <c r="H69" s="73">
        <f t="shared" si="1"/>
        <v>0</v>
      </c>
      <c r="I69" s="73"/>
      <c r="K69" s="27">
        <f>IFERROR(VLOOKUP(E69,'[11]SAP Input-BS'!$A$5:$E$500,5,0),0)</f>
        <v>0</v>
      </c>
      <c r="L69" s="27">
        <v>0</v>
      </c>
    </row>
    <row r="70" spans="1:12">
      <c r="A70" s="1" t="s">
        <v>264</v>
      </c>
      <c r="B70" s="2" t="s">
        <v>114</v>
      </c>
      <c r="D70" s="3" t="s">
        <v>142</v>
      </c>
      <c r="E70" s="7" t="s">
        <v>143</v>
      </c>
      <c r="F70" s="27">
        <f>IFERROR(VLOOKUP(E70,'[9]SAP Input-BS'!$A$5:$F$502,5,0),0)</f>
        <v>0</v>
      </c>
      <c r="G70" s="27">
        <f>IFERROR(VLOOKUP(E70,'[10]SAP Input-BS'!$A$5:$F$500,5,0),0)</f>
        <v>0</v>
      </c>
      <c r="H70" s="73">
        <f t="shared" si="1"/>
        <v>0</v>
      </c>
      <c r="I70" s="73"/>
      <c r="K70" s="27">
        <f>IFERROR(VLOOKUP(E70,'[11]SAP Input-BS'!$A$5:$E$500,5,0),0)</f>
        <v>0</v>
      </c>
      <c r="L70" s="27">
        <v>0</v>
      </c>
    </row>
    <row r="71" spans="1:12">
      <c r="A71" s="1" t="s">
        <v>264</v>
      </c>
      <c r="B71" s="2" t="s">
        <v>114</v>
      </c>
      <c r="D71" s="3" t="s">
        <v>144</v>
      </c>
      <c r="E71" s="7" t="s">
        <v>145</v>
      </c>
      <c r="F71" s="27">
        <f>IFERROR(VLOOKUP(E71,'[9]SAP Input-BS'!$A$5:$F$502,5,0),0)</f>
        <v>0</v>
      </c>
      <c r="G71" s="27">
        <f>IFERROR(VLOOKUP(E71,'[10]SAP Input-BS'!$A$5:$F$500,5,0),0)</f>
        <v>0</v>
      </c>
      <c r="H71" s="73">
        <f t="shared" si="1"/>
        <v>0</v>
      </c>
      <c r="I71" s="73"/>
      <c r="K71" s="27">
        <f>IFERROR(VLOOKUP(E71,'[11]SAP Input-BS'!$A$5:$E$500,5,0),0)</f>
        <v>0</v>
      </c>
      <c r="L71" s="27">
        <v>0</v>
      </c>
    </row>
    <row r="72" spans="1:12">
      <c r="A72" s="1" t="s">
        <v>264</v>
      </c>
      <c r="B72" s="2" t="s">
        <v>114</v>
      </c>
      <c r="D72" s="3" t="s">
        <v>146</v>
      </c>
      <c r="E72" s="7" t="s">
        <v>147</v>
      </c>
      <c r="F72" s="27">
        <f>IFERROR(VLOOKUP(E72,'[9]SAP Input-BS'!$A$5:$F$502,5,0),0)</f>
        <v>0</v>
      </c>
      <c r="G72" s="27">
        <f>IFERROR(VLOOKUP(E72,'[10]SAP Input-BS'!$A$5:$F$500,5,0),0)</f>
        <v>0</v>
      </c>
      <c r="H72" s="73">
        <f t="shared" si="1"/>
        <v>0</v>
      </c>
      <c r="I72" s="73"/>
      <c r="K72" s="27">
        <f>IFERROR(VLOOKUP(E72,'[11]SAP Input-BS'!$A$5:$E$500,5,0),0)</f>
        <v>0</v>
      </c>
      <c r="L72" s="27">
        <v>0</v>
      </c>
    </row>
    <row r="73" spans="1:12">
      <c r="A73" s="1" t="s">
        <v>264</v>
      </c>
      <c r="B73" s="2" t="s">
        <v>114</v>
      </c>
      <c r="D73" s="3" t="s">
        <v>148</v>
      </c>
      <c r="E73" s="7" t="s">
        <v>149</v>
      </c>
      <c r="F73" s="27">
        <f>IFERROR(VLOOKUP(E73,'[9]SAP Input-BS'!$A$5:$F$502,5,0),0)</f>
        <v>0</v>
      </c>
      <c r="G73" s="27">
        <f>IFERROR(VLOOKUP(E73,'[10]SAP Input-BS'!$A$5:$F$500,5,0),0)</f>
        <v>0</v>
      </c>
      <c r="H73" s="73">
        <f t="shared" si="1"/>
        <v>0</v>
      </c>
      <c r="I73" s="73"/>
      <c r="K73" s="27">
        <f>IFERROR(VLOOKUP(E73,'[11]SAP Input-BS'!$A$5:$E$500,5,0),0)</f>
        <v>0</v>
      </c>
      <c r="L73" s="27">
        <v>0</v>
      </c>
    </row>
    <row r="74" spans="1:12" s="19" customFormat="1">
      <c r="A74" s="19" t="s">
        <v>264</v>
      </c>
      <c r="B74" s="20" t="s">
        <v>114</v>
      </c>
      <c r="C74" s="19" t="s">
        <v>278</v>
      </c>
      <c r="D74" s="53" t="s">
        <v>150</v>
      </c>
      <c r="E74" s="21" t="s">
        <v>151</v>
      </c>
      <c r="F74" s="28">
        <f>IFERROR(VLOOKUP(E74,'[9]SAP Input-BS'!$A$5:$F$502,5,0),0)</f>
        <v>429673895.18000001</v>
      </c>
      <c r="G74" s="28">
        <f>IFERROR(VLOOKUP(E74,'[10]SAP Input-BS'!$A$5:$F$500,5,0),0)</f>
        <v>480666551.44999999</v>
      </c>
      <c r="H74" s="74">
        <f t="shared" si="1"/>
        <v>-50992656.269999981</v>
      </c>
      <c r="I74" s="74"/>
      <c r="K74" s="31">
        <f>IFERROR(VLOOKUP(E74,'[11]SAP Input-BS'!$A$5:$E$500,5,0),0)</f>
        <v>656289555.78999996</v>
      </c>
      <c r="L74" s="28">
        <v>819686106.27999997</v>
      </c>
    </row>
    <row r="75" spans="1:12" s="19" customFormat="1">
      <c r="A75" s="19" t="s">
        <v>264</v>
      </c>
      <c r="B75" s="20" t="s">
        <v>267</v>
      </c>
      <c r="C75" s="19" t="s">
        <v>267</v>
      </c>
      <c r="D75" s="53" t="s">
        <v>152</v>
      </c>
      <c r="E75" s="21" t="s">
        <v>153</v>
      </c>
      <c r="F75" s="28">
        <f>IFERROR(VLOOKUP(E75,'[9]SAP Input-BS'!$A$5:$F$502,5,0),0)</f>
        <v>132435905.39</v>
      </c>
      <c r="G75" s="28">
        <f>IFERROR(VLOOKUP(E75,'[10]SAP Input-BS'!$A$5:$F$500,5,0),0)</f>
        <v>109271766.79000001</v>
      </c>
      <c r="H75" s="74">
        <f t="shared" si="1"/>
        <v>23164138.599999994</v>
      </c>
      <c r="I75" s="74"/>
      <c r="K75" s="31">
        <f>IFERROR(VLOOKUP(E75,'[11]SAP Input-BS'!$A$5:$E$500,5,0),0)</f>
        <v>172816237.83000001</v>
      </c>
      <c r="L75" s="28">
        <v>174351181.78</v>
      </c>
    </row>
    <row r="76" spans="1:12" s="13" customFormat="1">
      <c r="A76" s="41" t="s">
        <v>264</v>
      </c>
      <c r="B76" s="14" t="s">
        <v>154</v>
      </c>
      <c r="C76" s="14" t="s">
        <v>154</v>
      </c>
      <c r="D76" s="14" t="s">
        <v>154</v>
      </c>
      <c r="E76" s="26" t="s">
        <v>155</v>
      </c>
      <c r="F76" s="32">
        <f>IFERROR(VLOOKUP(E76,'[9]SAP Input-BS'!$A$5:$F$502,5,0),0)</f>
        <v>46424055643.559998</v>
      </c>
      <c r="G76" s="32">
        <f>IFERROR(VLOOKUP(E76,'[10]SAP Input-BS'!$A$5:$F$500,5,0),0)</f>
        <v>46555971040.029999</v>
      </c>
      <c r="H76" s="76">
        <f t="shared" si="1"/>
        <v>-131915396.47000122</v>
      </c>
      <c r="I76" s="76"/>
      <c r="K76" s="29">
        <f>IFERROR(VLOOKUP(E76,'[11]SAP Input-BS'!$A$5:$E$500,5,0),0)</f>
        <v>51845011824.010002</v>
      </c>
      <c r="L76" s="32">
        <v>53865272359.550003</v>
      </c>
    </row>
    <row r="77" spans="1:12">
      <c r="D77" s="3"/>
      <c r="E77" s="4"/>
      <c r="F77" s="30">
        <f>IFERROR(VLOOKUP(E77,'[9]SAP Input-BS'!$A$5:$F$502,5,0),0)</f>
        <v>0</v>
      </c>
      <c r="G77" s="30">
        <f>IFERROR(VLOOKUP(E77,'[10]SAP Input-BS'!$A$5:$F$500,5,0),0)</f>
        <v>0</v>
      </c>
      <c r="H77" s="77">
        <f t="shared" si="1"/>
        <v>0</v>
      </c>
      <c r="I77" s="77"/>
      <c r="K77" s="30"/>
      <c r="L77" s="30"/>
    </row>
    <row r="78" spans="1:12">
      <c r="A78" s="2" t="s">
        <v>268</v>
      </c>
      <c r="B78" s="2" t="s">
        <v>280</v>
      </c>
      <c r="C78" s="1" t="s">
        <v>269</v>
      </c>
      <c r="D78" s="3" t="s">
        <v>156</v>
      </c>
      <c r="E78" s="7" t="s">
        <v>157</v>
      </c>
      <c r="F78" s="27">
        <f>IFERROR(VLOOKUP(E78,'[9]SAP Input-BS'!$A$5:$F$502,5,0),0)</f>
        <v>0</v>
      </c>
      <c r="G78" s="27">
        <f>IFERROR(VLOOKUP(E78,'[10]SAP Input-BS'!$A$5:$F$500,5,0),0)</f>
        <v>0</v>
      </c>
      <c r="H78" s="73">
        <f t="shared" si="1"/>
        <v>0</v>
      </c>
      <c r="I78" s="73"/>
      <c r="K78" s="27">
        <f>IFERROR(VLOOKUP(E78,'[11]SAP Input-BS'!$A$5:$E$500,5,0),0)</f>
        <v>0</v>
      </c>
      <c r="L78" s="27">
        <v>0</v>
      </c>
    </row>
    <row r="79" spans="1:12">
      <c r="A79" s="2" t="s">
        <v>268</v>
      </c>
      <c r="B79" s="2" t="s">
        <v>280</v>
      </c>
      <c r="C79" s="1" t="s">
        <v>269</v>
      </c>
      <c r="D79" s="3" t="s">
        <v>158</v>
      </c>
      <c r="E79" s="7" t="s">
        <v>159</v>
      </c>
      <c r="F79" s="27">
        <f>IFERROR(VLOOKUP(E79,'[9]SAP Input-BS'!$A$5:$F$502,5,0),0)</f>
        <v>0</v>
      </c>
      <c r="G79" s="27">
        <f>IFERROR(VLOOKUP(E79,'[10]SAP Input-BS'!$A$5:$F$500,5,0),0)</f>
        <v>0</v>
      </c>
      <c r="H79" s="73">
        <f t="shared" si="1"/>
        <v>0</v>
      </c>
      <c r="I79" s="73"/>
      <c r="K79" s="27">
        <f>IFERROR(VLOOKUP(E79,'[11]SAP Input-BS'!$A$5:$E$500,5,0),0)</f>
        <v>0</v>
      </c>
      <c r="L79" s="27">
        <v>0</v>
      </c>
    </row>
    <row r="80" spans="1:12">
      <c r="A80" s="2" t="s">
        <v>268</v>
      </c>
      <c r="B80" s="2" t="s">
        <v>280</v>
      </c>
      <c r="C80" s="1" t="s">
        <v>269</v>
      </c>
      <c r="D80" s="3" t="s">
        <v>160</v>
      </c>
      <c r="E80" s="7" t="s">
        <v>161</v>
      </c>
      <c r="F80" s="27">
        <f>IFERROR(VLOOKUP(E80,'[9]SAP Input-BS'!$A$5:$F$502,5,0),0)</f>
        <v>0</v>
      </c>
      <c r="G80" s="27">
        <f>IFERROR(VLOOKUP(E80,'[10]SAP Input-BS'!$A$5:$F$500,5,0),0)</f>
        <v>0</v>
      </c>
      <c r="H80" s="73">
        <f t="shared" si="1"/>
        <v>0</v>
      </c>
      <c r="I80" s="73"/>
      <c r="K80" s="27">
        <f>IFERROR(VLOOKUP(E80,'[11]SAP Input-BS'!$A$5:$E$500,5,0),0)</f>
        <v>0</v>
      </c>
      <c r="L80" s="27">
        <v>0</v>
      </c>
    </row>
    <row r="81" spans="1:12">
      <c r="A81" s="2" t="s">
        <v>268</v>
      </c>
      <c r="B81" s="2" t="s">
        <v>280</v>
      </c>
      <c r="C81" s="1" t="s">
        <v>269</v>
      </c>
      <c r="D81" s="3" t="s">
        <v>162</v>
      </c>
      <c r="E81" s="7" t="s">
        <v>163</v>
      </c>
      <c r="F81" s="27">
        <f>IFERROR(VLOOKUP(E81,'[9]SAP Input-BS'!$A$5:$F$502,5,0),0)</f>
        <v>0</v>
      </c>
      <c r="G81" s="27">
        <f>IFERROR(VLOOKUP(E81,'[10]SAP Input-BS'!$A$5:$F$500,5,0),0)</f>
        <v>0</v>
      </c>
      <c r="H81" s="73">
        <f t="shared" si="1"/>
        <v>0</v>
      </c>
      <c r="I81" s="73"/>
      <c r="K81" s="27">
        <f>IFERROR(VLOOKUP(E81,'[11]SAP Input-BS'!$A$5:$E$500,5,0),0)</f>
        <v>0</v>
      </c>
      <c r="L81" s="27">
        <v>0</v>
      </c>
    </row>
    <row r="82" spans="1:12">
      <c r="A82" s="2" t="s">
        <v>268</v>
      </c>
      <c r="B82" s="2" t="s">
        <v>280</v>
      </c>
      <c r="C82" s="1" t="s">
        <v>269</v>
      </c>
      <c r="D82" s="3" t="s">
        <v>164</v>
      </c>
      <c r="E82" s="7" t="s">
        <v>165</v>
      </c>
      <c r="F82" s="27">
        <f>IFERROR(VLOOKUP(E82,'[9]SAP Input-BS'!$A$5:$F$502,5,0),0)</f>
        <v>0</v>
      </c>
      <c r="G82" s="27">
        <f>IFERROR(VLOOKUP(E82,'[10]SAP Input-BS'!$A$5:$F$500,5,0),0)</f>
        <v>0</v>
      </c>
      <c r="H82" s="73">
        <f t="shared" si="1"/>
        <v>0</v>
      </c>
      <c r="I82" s="73"/>
      <c r="K82" s="27">
        <f>IFERROR(VLOOKUP(E82,'[11]SAP Input-BS'!$A$5:$E$500,5,0),0)</f>
        <v>0</v>
      </c>
      <c r="L82" s="27">
        <v>0</v>
      </c>
    </row>
    <row r="83" spans="1:12" s="19" customFormat="1">
      <c r="A83" s="20" t="s">
        <v>268</v>
      </c>
      <c r="B83" s="20" t="s">
        <v>280</v>
      </c>
      <c r="C83" s="20" t="s">
        <v>269</v>
      </c>
      <c r="D83" s="53" t="s">
        <v>166</v>
      </c>
      <c r="E83" s="24" t="s">
        <v>167</v>
      </c>
      <c r="F83" s="28">
        <f>IFERROR(VLOOKUP(E83,'[9]SAP Input-BS'!$A$5:$F$502,5,0),0)</f>
        <v>0</v>
      </c>
      <c r="G83" s="28">
        <f>IFERROR(VLOOKUP(E83,'[10]SAP Input-BS'!$A$5:$F$500,5,0),0)</f>
        <v>0</v>
      </c>
      <c r="H83" s="74">
        <f t="shared" si="1"/>
        <v>0</v>
      </c>
      <c r="I83" s="74"/>
      <c r="K83" s="31">
        <f>IFERROR(VLOOKUP(E83,'[11]SAP Input-BS'!$A$5:$E$500,5,0),0)</f>
        <v>0</v>
      </c>
      <c r="L83" s="28">
        <v>0</v>
      </c>
    </row>
    <row r="84" spans="1:12" s="19" customFormat="1">
      <c r="A84" s="20" t="s">
        <v>268</v>
      </c>
      <c r="B84" s="20" t="s">
        <v>280</v>
      </c>
      <c r="C84" s="19" t="s">
        <v>270</v>
      </c>
      <c r="D84" s="53" t="s">
        <v>168</v>
      </c>
      <c r="E84" s="21" t="s">
        <v>169</v>
      </c>
      <c r="F84" s="28">
        <f>IFERROR(VLOOKUP(E84,'[9]SAP Input-BS'!$A$5:$F$502,5,0),0)</f>
        <v>15142791950.120001</v>
      </c>
      <c r="G84" s="28">
        <f>IFERROR(VLOOKUP(E84,'[10]SAP Input-BS'!$A$5:$F$500,5,0),0)</f>
        <v>18830801148.119999</v>
      </c>
      <c r="H84" s="74">
        <f t="shared" si="1"/>
        <v>-3688009197.9999981</v>
      </c>
      <c r="I84" s="74"/>
      <c r="J84" s="58" t="s">
        <v>281</v>
      </c>
      <c r="K84" s="31">
        <f>IFERROR(VLOOKUP(E84,'[11]SAP Input-BS'!$A$5:$E$500,5,0),0)</f>
        <v>14577647253</v>
      </c>
      <c r="L84" s="28">
        <v>18396415768.119999</v>
      </c>
    </row>
    <row r="85" spans="1:12" s="19" customFormat="1">
      <c r="A85" s="20" t="s">
        <v>268</v>
      </c>
      <c r="B85" s="20" t="s">
        <v>280</v>
      </c>
      <c r="C85" s="19" t="s">
        <v>170</v>
      </c>
      <c r="D85" s="53" t="s">
        <v>272</v>
      </c>
      <c r="E85" s="24" t="s">
        <v>171</v>
      </c>
      <c r="F85" s="28">
        <f>IFERROR(VLOOKUP(E85,'[9]SAP Input-BS'!$A$5:$F$502,5,0),0)</f>
        <v>0</v>
      </c>
      <c r="G85" s="28">
        <f>IFERROR(VLOOKUP(E85,'[10]SAP Input-BS'!$A$5:$F$500,5,0),0)</f>
        <v>0</v>
      </c>
      <c r="H85" s="74">
        <f t="shared" si="1"/>
        <v>0</v>
      </c>
      <c r="I85" s="74"/>
      <c r="K85" s="31">
        <f>IFERROR(VLOOKUP(E85,'[11]SAP Input-BS'!$A$5:$E$500,5,0),0)</f>
        <v>0</v>
      </c>
      <c r="L85" s="28">
        <v>0</v>
      </c>
    </row>
    <row r="86" spans="1:12">
      <c r="A86" s="2" t="s">
        <v>268</v>
      </c>
      <c r="B86" s="2" t="s">
        <v>280</v>
      </c>
      <c r="C86" s="2" t="s">
        <v>34</v>
      </c>
      <c r="D86" s="3" t="s">
        <v>172</v>
      </c>
      <c r="E86" s="9" t="s">
        <v>173</v>
      </c>
      <c r="F86" s="63">
        <f>IFERROR(VLOOKUP(E86,'[9]SAP Input-BS'!$A$5:$F$502,5,0),0)</f>
        <v>853467369.72000003</v>
      </c>
      <c r="G86" s="63">
        <f>IFERROR(VLOOKUP(E86,'[10]SAP Input-BS'!$A$5:$F$500,5,0),0)</f>
        <v>470978480.72000003</v>
      </c>
      <c r="H86" s="75">
        <f t="shared" si="1"/>
        <v>382488889</v>
      </c>
      <c r="I86" s="73"/>
      <c r="J86" t="s">
        <v>615</v>
      </c>
      <c r="K86" s="27">
        <f>IFERROR(VLOOKUP(E86,'[11]SAP Input-BS'!$A$5:$E$500,5,0),0)</f>
        <v>322983329.27999997</v>
      </c>
      <c r="L86" s="27">
        <v>463826819.91000003</v>
      </c>
    </row>
    <row r="87" spans="1:12">
      <c r="A87" s="2" t="s">
        <v>268</v>
      </c>
      <c r="B87" s="2" t="s">
        <v>280</v>
      </c>
      <c r="C87" s="2" t="s">
        <v>34</v>
      </c>
      <c r="D87" s="3" t="s">
        <v>174</v>
      </c>
      <c r="E87" s="7" t="s">
        <v>175</v>
      </c>
      <c r="F87" s="27">
        <f>IFERROR(VLOOKUP(E87,'[9]SAP Input-BS'!$A$5:$F$502,5,0),0)</f>
        <v>71116272</v>
      </c>
      <c r="G87" s="27">
        <f>IFERROR(VLOOKUP(E87,'[10]SAP Input-BS'!$A$5:$F$500,5,0),0)</f>
        <v>71780813</v>
      </c>
      <c r="H87" s="73">
        <f t="shared" si="1"/>
        <v>-664541</v>
      </c>
      <c r="I87" s="73"/>
      <c r="K87" s="27">
        <f>IFERROR(VLOOKUP(E87,'[11]SAP Input-BS'!$A$5:$E$500,5,0),0)</f>
        <v>70852420</v>
      </c>
      <c r="L87" s="27">
        <v>69384446.459999993</v>
      </c>
    </row>
    <row r="88" spans="1:12">
      <c r="A88" s="2" t="s">
        <v>268</v>
      </c>
      <c r="B88" s="2" t="s">
        <v>280</v>
      </c>
      <c r="C88" s="2" t="s">
        <v>34</v>
      </c>
      <c r="D88" s="3" t="s">
        <v>176</v>
      </c>
      <c r="E88" s="7" t="s">
        <v>177</v>
      </c>
      <c r="F88" s="27">
        <f>IFERROR(VLOOKUP(E88,'[9]SAP Input-BS'!$A$5:$F$502,5,0),0)</f>
        <v>46610000</v>
      </c>
      <c r="G88" s="27">
        <f>IFERROR(VLOOKUP(E88,'[10]SAP Input-BS'!$A$5:$F$500,5,0),0)</f>
        <v>46610000</v>
      </c>
      <c r="H88" s="73">
        <f t="shared" si="1"/>
        <v>0</v>
      </c>
      <c r="I88" s="73"/>
      <c r="J88" t="s">
        <v>614</v>
      </c>
      <c r="K88" s="27">
        <f>IFERROR(VLOOKUP(E88,'[11]SAP Input-BS'!$A$5:$E$500,5,0),0)</f>
        <v>0</v>
      </c>
      <c r="L88" s="27">
        <v>0</v>
      </c>
    </row>
    <row r="89" spans="1:12">
      <c r="A89" s="2" t="s">
        <v>268</v>
      </c>
      <c r="B89" s="2" t="s">
        <v>280</v>
      </c>
      <c r="C89" s="2" t="s">
        <v>34</v>
      </c>
      <c r="D89" s="3" t="s">
        <v>178</v>
      </c>
      <c r="E89" s="7" t="s">
        <v>179</v>
      </c>
      <c r="F89" s="27">
        <f>IFERROR(VLOOKUP(E89,'[9]SAP Input-BS'!$A$5:$F$502,5,0),0)</f>
        <v>0</v>
      </c>
      <c r="G89" s="27">
        <f>IFERROR(VLOOKUP(E89,'[10]SAP Input-BS'!$A$5:$F$500,5,0),0)</f>
        <v>0</v>
      </c>
      <c r="H89" s="73">
        <f t="shared" si="1"/>
        <v>0</v>
      </c>
      <c r="I89" s="73"/>
      <c r="K89" s="27">
        <f>IFERROR(VLOOKUP(E89,'[11]SAP Input-BS'!$A$5:$E$500,5,0),0)</f>
        <v>0</v>
      </c>
      <c r="L89" s="27">
        <v>0</v>
      </c>
    </row>
    <row r="90" spans="1:12">
      <c r="A90" s="2" t="s">
        <v>268</v>
      </c>
      <c r="B90" s="2" t="s">
        <v>280</v>
      </c>
      <c r="C90" s="2" t="s">
        <v>34</v>
      </c>
      <c r="D90" s="3" t="s">
        <v>180</v>
      </c>
      <c r="E90" s="7" t="s">
        <v>181</v>
      </c>
      <c r="F90" s="27">
        <f>IFERROR(VLOOKUP(E90,'[9]SAP Input-BS'!$A$5:$F$502,5,0),0)</f>
        <v>0</v>
      </c>
      <c r="G90" s="27">
        <f>IFERROR(VLOOKUP(E90,'[10]SAP Input-BS'!$A$5:$F$500,5,0),0)</f>
        <v>0</v>
      </c>
      <c r="H90" s="73">
        <f t="shared" si="1"/>
        <v>0</v>
      </c>
      <c r="I90" s="73"/>
      <c r="K90" s="27">
        <f>IFERROR(VLOOKUP(E90,'[11]SAP Input-BS'!$A$5:$E$500,5,0),0)</f>
        <v>0</v>
      </c>
      <c r="L90" s="27">
        <v>0</v>
      </c>
    </row>
    <row r="91" spans="1:12">
      <c r="A91" s="2" t="s">
        <v>268</v>
      </c>
      <c r="B91" s="2" t="s">
        <v>280</v>
      </c>
      <c r="C91" s="2" t="s">
        <v>34</v>
      </c>
      <c r="D91" s="3" t="s">
        <v>182</v>
      </c>
      <c r="E91" s="7" t="s">
        <v>183</v>
      </c>
      <c r="F91" s="27">
        <f>IFERROR(VLOOKUP(E91,'[9]SAP Input-BS'!$A$5:$F$502,5,0),0)</f>
        <v>0</v>
      </c>
      <c r="G91" s="27">
        <f>IFERROR(VLOOKUP(E91,'[10]SAP Input-BS'!$A$5:$F$500,5,0),0)</f>
        <v>0</v>
      </c>
      <c r="H91" s="73">
        <f t="shared" si="1"/>
        <v>0</v>
      </c>
      <c r="I91" s="73"/>
      <c r="K91" s="27">
        <f>IFERROR(VLOOKUP(E91,'[11]SAP Input-BS'!$A$5:$E$500,5,0),0)</f>
        <v>0</v>
      </c>
      <c r="L91" s="27">
        <v>0</v>
      </c>
    </row>
    <row r="92" spans="1:12" s="19" customFormat="1">
      <c r="A92" s="20" t="s">
        <v>268</v>
      </c>
      <c r="B92" s="20" t="s">
        <v>280</v>
      </c>
      <c r="C92" s="20" t="s">
        <v>271</v>
      </c>
      <c r="D92" s="53" t="s">
        <v>184</v>
      </c>
      <c r="E92" s="24" t="s">
        <v>185</v>
      </c>
      <c r="F92" s="28">
        <f>IFERROR(VLOOKUP(E92,'[9]SAP Input-BS'!$A$5:$F$502,5,0),0)</f>
        <v>971193641.72000003</v>
      </c>
      <c r="G92" s="28">
        <f>IFERROR(VLOOKUP(E92,'[10]SAP Input-BS'!$A$5:$F$500,5,0),0)</f>
        <v>589369293.72000003</v>
      </c>
      <c r="H92" s="74">
        <f t="shared" si="1"/>
        <v>381824348</v>
      </c>
      <c r="I92" s="74"/>
      <c r="K92" s="31">
        <f>IFERROR(VLOOKUP(E92,'[11]SAP Input-BS'!$A$5:$E$500,5,0),0)</f>
        <v>393835749.27999997</v>
      </c>
      <c r="L92" s="28">
        <v>533211266.37</v>
      </c>
    </row>
    <row r="93" spans="1:12">
      <c r="A93" s="2" t="s">
        <v>268</v>
      </c>
      <c r="B93" s="2" t="s">
        <v>280</v>
      </c>
      <c r="D93" s="3" t="s">
        <v>186</v>
      </c>
      <c r="E93" s="9" t="s">
        <v>187</v>
      </c>
      <c r="F93" s="27">
        <f>IFERROR(VLOOKUP(E93,'[9]SAP Input-BS'!$A$5:$F$502,5,0),0)</f>
        <v>0</v>
      </c>
      <c r="G93" s="27">
        <f>IFERROR(VLOOKUP(E93,'[10]SAP Input-BS'!$A$5:$F$500,5,0),0)</f>
        <v>0</v>
      </c>
      <c r="H93" s="73">
        <f t="shared" si="1"/>
        <v>0</v>
      </c>
      <c r="I93" s="73"/>
      <c r="K93" s="27">
        <f>IFERROR(VLOOKUP(E93,'[11]SAP Input-BS'!$A$5:$E$500,5,0),0)</f>
        <v>0</v>
      </c>
      <c r="L93" s="27">
        <v>0</v>
      </c>
    </row>
    <row r="94" spans="1:12">
      <c r="A94" s="2" t="s">
        <v>268</v>
      </c>
      <c r="B94" s="2" t="s">
        <v>280</v>
      </c>
      <c r="D94" s="3" t="s">
        <v>188</v>
      </c>
      <c r="E94" s="7" t="s">
        <v>189</v>
      </c>
      <c r="F94" s="27">
        <f>IFERROR(VLOOKUP(E94,'[9]SAP Input-BS'!$A$5:$F$502,5,0),0)</f>
        <v>121217612.40000001</v>
      </c>
      <c r="G94" s="27">
        <f>IFERROR(VLOOKUP(E94,'[10]SAP Input-BS'!$A$5:$F$500,5,0),0)</f>
        <v>215934575.40000001</v>
      </c>
      <c r="H94" s="73">
        <f t="shared" si="1"/>
        <v>-94716963</v>
      </c>
      <c r="I94" s="73"/>
      <c r="K94" s="27">
        <f>IFERROR(VLOOKUP(E94,'[11]SAP Input-BS'!$A$5:$E$500,5,0),0)</f>
        <v>-0.01</v>
      </c>
      <c r="L94" s="27">
        <v>319283694.99000001</v>
      </c>
    </row>
    <row r="95" spans="1:12">
      <c r="A95" s="2" t="s">
        <v>268</v>
      </c>
      <c r="B95" s="2" t="s">
        <v>280</v>
      </c>
      <c r="D95" s="3" t="s">
        <v>190</v>
      </c>
      <c r="E95" s="7" t="s">
        <v>191</v>
      </c>
      <c r="F95" s="63">
        <f>IFERROR(VLOOKUP(E95,'[9]SAP Input-BS'!$A$5:$F$502,5,0),0)</f>
        <v>1270728058</v>
      </c>
      <c r="G95" s="63">
        <f>IFERROR(VLOOKUP(E95,'[10]SAP Input-BS'!$A$5:$F$500,5,0),0)</f>
        <v>1498295348</v>
      </c>
      <c r="H95" s="75">
        <f t="shared" si="1"/>
        <v>-227567290</v>
      </c>
      <c r="I95" s="73"/>
      <c r="K95" s="27">
        <f>IFERROR(VLOOKUP(E95,'[11]SAP Input-BS'!$A$5:$E$500,5,0),0)</f>
        <v>1627141058</v>
      </c>
      <c r="L95" s="27">
        <v>1500057713.28</v>
      </c>
    </row>
    <row r="96" spans="1:12">
      <c r="A96" s="2" t="s">
        <v>268</v>
      </c>
      <c r="B96" s="2" t="s">
        <v>280</v>
      </c>
      <c r="D96" s="3" t="s">
        <v>192</v>
      </c>
      <c r="E96" s="7" t="s">
        <v>193</v>
      </c>
      <c r="F96" s="27">
        <f>IFERROR(VLOOKUP(E96,'[9]SAP Input-BS'!$A$5:$F$502,5,0),0)</f>
        <v>0</v>
      </c>
      <c r="G96" s="27">
        <f>IFERROR(VLOOKUP(E96,'[10]SAP Input-BS'!$A$5:$F$500,5,0),0)</f>
        <v>0</v>
      </c>
      <c r="H96" s="73">
        <f t="shared" si="1"/>
        <v>0</v>
      </c>
      <c r="I96" s="73"/>
      <c r="K96" s="27">
        <f>IFERROR(VLOOKUP(E96,'[11]SAP Input-BS'!$A$5:$E$500,5,0),0)</f>
        <v>0</v>
      </c>
      <c r="L96" s="27">
        <v>0</v>
      </c>
    </row>
    <row r="97" spans="1:12">
      <c r="A97" s="2" t="s">
        <v>268</v>
      </c>
      <c r="B97" s="2" t="s">
        <v>280</v>
      </c>
      <c r="D97" s="3" t="s">
        <v>194</v>
      </c>
      <c r="E97" s="7" t="s">
        <v>195</v>
      </c>
      <c r="F97" s="27">
        <f>IFERROR(VLOOKUP(E97,'[9]SAP Input-BS'!$A$5:$F$502,5,0),0)</f>
        <v>0</v>
      </c>
      <c r="G97" s="27">
        <f>IFERROR(VLOOKUP(E97,'[10]SAP Input-BS'!$A$5:$F$500,5,0),0)</f>
        <v>0</v>
      </c>
      <c r="H97" s="73">
        <f t="shared" si="1"/>
        <v>0</v>
      </c>
      <c r="I97" s="73"/>
      <c r="K97" s="27">
        <f>IFERROR(VLOOKUP(E97,'[11]SAP Input-BS'!$A$5:$E$500,5,0),0)</f>
        <v>0</v>
      </c>
      <c r="L97" s="27">
        <v>0</v>
      </c>
    </row>
    <row r="98" spans="1:12">
      <c r="A98" s="2" t="s">
        <v>268</v>
      </c>
      <c r="B98" s="2" t="s">
        <v>280</v>
      </c>
      <c r="D98" s="3" t="s">
        <v>196</v>
      </c>
      <c r="E98" s="10" t="s">
        <v>197</v>
      </c>
      <c r="F98" s="27">
        <f>IFERROR(VLOOKUP(E98,'[9]SAP Input-BS'!$A$5:$F$502,5,0),0)</f>
        <v>0</v>
      </c>
      <c r="G98" s="27">
        <f>IFERROR(VLOOKUP(E98,'[10]SAP Input-BS'!$A$5:$F$500,5,0),0)</f>
        <v>0</v>
      </c>
      <c r="H98" s="73">
        <f t="shared" si="1"/>
        <v>0</v>
      </c>
      <c r="I98" s="73"/>
      <c r="K98" s="27">
        <f>IFERROR(VLOOKUP(E98,'[11]SAP Input-BS'!$A$5:$E$500,5,0),0)</f>
        <v>0</v>
      </c>
      <c r="L98" s="27">
        <v>0</v>
      </c>
    </row>
    <row r="99" spans="1:12" s="19" customFormat="1">
      <c r="A99" s="20" t="s">
        <v>268</v>
      </c>
      <c r="B99" s="20" t="s">
        <v>280</v>
      </c>
      <c r="C99" s="20" t="s">
        <v>280</v>
      </c>
      <c r="D99" s="53" t="s">
        <v>198</v>
      </c>
      <c r="E99" s="21" t="s">
        <v>199</v>
      </c>
      <c r="F99" s="28">
        <f>IFERROR(VLOOKUP(E99,'[9]SAP Input-BS'!$A$5:$F$502,5,0),0)</f>
        <v>17505931262.240002</v>
      </c>
      <c r="G99" s="28">
        <f>IFERROR(VLOOKUP(E99,'[10]SAP Input-BS'!$A$5:$F$500,5,0),0)</f>
        <v>21134400365.240002</v>
      </c>
      <c r="H99" s="74">
        <f t="shared" si="1"/>
        <v>-3628469103</v>
      </c>
      <c r="I99" s="74"/>
      <c r="K99" s="31">
        <f>IFERROR(VLOOKUP(E99,'[11]SAP Input-BS'!$A$5:$E$500,5,0),0)</f>
        <v>16598624060.27</v>
      </c>
      <c r="L99" s="28">
        <v>20748968442.759998</v>
      </c>
    </row>
    <row r="100" spans="1:12">
      <c r="A100" s="2" t="s">
        <v>268</v>
      </c>
      <c r="B100" s="1" t="s">
        <v>273</v>
      </c>
      <c r="D100" s="3" t="s">
        <v>200</v>
      </c>
      <c r="E100" s="9" t="s">
        <v>201</v>
      </c>
      <c r="F100" s="27">
        <f>IFERROR(VLOOKUP(E100,'[9]SAP Input-BS'!$A$5:$F$502,5,0),0)</f>
        <v>859173132.60000002</v>
      </c>
      <c r="G100" s="27">
        <f>IFERROR(VLOOKUP(E100,'[10]SAP Input-BS'!$A$5:$F$500,5,0),0)</f>
        <v>859173132.60000002</v>
      </c>
      <c r="H100" s="73">
        <f t="shared" si="1"/>
        <v>0</v>
      </c>
      <c r="I100" s="73"/>
      <c r="J100" t="s">
        <v>628</v>
      </c>
      <c r="K100" s="27">
        <f>IFERROR(VLOOKUP(E100,'[11]SAP Input-BS'!$A$5:$E$500,5,0),0)</f>
        <v>0</v>
      </c>
      <c r="L100" s="27">
        <v>0</v>
      </c>
    </row>
    <row r="101" spans="1:12">
      <c r="A101" s="2" t="s">
        <v>268</v>
      </c>
      <c r="B101" s="1" t="s">
        <v>273</v>
      </c>
      <c r="D101" s="11" t="s">
        <v>202</v>
      </c>
      <c r="E101" s="25" t="s">
        <v>203</v>
      </c>
      <c r="F101" s="27">
        <f>IFERROR(VLOOKUP(E101,'[9]SAP Input-BS'!$A$5:$F$502,5,0),0)</f>
        <v>0</v>
      </c>
      <c r="G101" s="27">
        <f>IFERROR(VLOOKUP(E101,'[10]SAP Input-BS'!$A$5:$F$500,5,0),0)</f>
        <v>0</v>
      </c>
      <c r="H101" s="73">
        <f t="shared" si="1"/>
        <v>0</v>
      </c>
      <c r="I101" s="73"/>
      <c r="K101" s="27">
        <f>IFERROR(VLOOKUP(E101,'[11]SAP Input-BS'!$A$5:$E$500,5,0),0)</f>
        <v>0</v>
      </c>
      <c r="L101" s="27">
        <v>0</v>
      </c>
    </row>
    <row r="102" spans="1:12">
      <c r="A102" s="2" t="s">
        <v>268</v>
      </c>
      <c r="B102" s="1" t="s">
        <v>273</v>
      </c>
      <c r="D102" s="3" t="s">
        <v>204</v>
      </c>
      <c r="E102" s="7" t="s">
        <v>205</v>
      </c>
      <c r="F102" s="27">
        <f>IFERROR(VLOOKUP(E102,'[9]SAP Input-BS'!$A$5:$F$502,5,0),0)</f>
        <v>0</v>
      </c>
      <c r="G102" s="27">
        <f>IFERROR(VLOOKUP(E102,'[10]SAP Input-BS'!$A$5:$F$500,5,0),0)</f>
        <v>0</v>
      </c>
      <c r="H102" s="73">
        <f t="shared" si="1"/>
        <v>0</v>
      </c>
      <c r="I102" s="73"/>
      <c r="K102" s="27">
        <f>IFERROR(VLOOKUP(E102,'[11]SAP Input-BS'!$A$5:$E$500,5,0),0)</f>
        <v>0</v>
      </c>
      <c r="L102" s="27">
        <v>0</v>
      </c>
    </row>
    <row r="103" spans="1:12">
      <c r="A103" s="2" t="s">
        <v>268</v>
      </c>
      <c r="B103" s="1" t="s">
        <v>273</v>
      </c>
      <c r="D103" s="3" t="s">
        <v>206</v>
      </c>
      <c r="E103" s="7" t="s">
        <v>207</v>
      </c>
      <c r="F103" s="27">
        <f>IFERROR(VLOOKUP(E103,'[9]SAP Input-BS'!$A$5:$F$502,5,0),0)</f>
        <v>0</v>
      </c>
      <c r="G103" s="27">
        <f>IFERROR(VLOOKUP(E103,'[10]SAP Input-BS'!$A$5:$F$500,5,0),0)</f>
        <v>0</v>
      </c>
      <c r="H103" s="73">
        <f t="shared" si="1"/>
        <v>0</v>
      </c>
      <c r="I103" s="73"/>
      <c r="K103" s="27">
        <f>IFERROR(VLOOKUP(E103,'[11]SAP Input-BS'!$A$5:$E$500,5,0),0)</f>
        <v>0</v>
      </c>
      <c r="L103" s="27">
        <v>0</v>
      </c>
    </row>
    <row r="104" spans="1:12" s="19" customFormat="1">
      <c r="A104" s="20" t="s">
        <v>268</v>
      </c>
      <c r="B104" s="19" t="s">
        <v>273</v>
      </c>
      <c r="C104" s="19" t="s">
        <v>273</v>
      </c>
      <c r="D104" s="53" t="s">
        <v>208</v>
      </c>
      <c r="E104" s="21" t="s">
        <v>209</v>
      </c>
      <c r="F104" s="28">
        <f>IFERROR(VLOOKUP(E104,'[9]SAP Input-BS'!$A$5:$F$502,5,0),0)</f>
        <v>859173132.60000002</v>
      </c>
      <c r="G104" s="28">
        <f>IFERROR(VLOOKUP(E104,'[10]SAP Input-BS'!$A$5:$F$500,5,0),0)</f>
        <v>859173132.60000002</v>
      </c>
      <c r="H104" s="74">
        <f t="shared" si="1"/>
        <v>0</v>
      </c>
      <c r="I104" s="74"/>
      <c r="K104" s="31">
        <f>IFERROR(VLOOKUP(E104,'[11]SAP Input-BS'!$A$5:$E$500,5,0),0)</f>
        <v>0</v>
      </c>
      <c r="L104" s="28">
        <v>0</v>
      </c>
    </row>
    <row r="105" spans="1:12">
      <c r="A105" s="2" t="s">
        <v>268</v>
      </c>
      <c r="B105" s="1" t="s">
        <v>210</v>
      </c>
      <c r="C105" s="1" t="s">
        <v>210</v>
      </c>
      <c r="D105" s="3" t="s">
        <v>210</v>
      </c>
      <c r="E105" s="23" t="s">
        <v>211</v>
      </c>
      <c r="F105" s="27">
        <f>IFERROR(VLOOKUP(E105,'[9]SAP Input-BS'!$A$5:$F$502,5,0),0)</f>
        <v>81385885</v>
      </c>
      <c r="G105" s="27">
        <f>IFERROR(VLOOKUP(E105,'[10]SAP Input-BS'!$A$5:$F$500,5,0),0)</f>
        <v>1688538995</v>
      </c>
      <c r="H105" s="73">
        <f t="shared" si="1"/>
        <v>-1607153110</v>
      </c>
      <c r="I105" s="73"/>
      <c r="K105" s="27">
        <f>IFERROR(VLOOKUP(E105,'[11]SAP Input-BS'!$A$5:$E$500,5,0),0)</f>
        <v>0</v>
      </c>
      <c r="L105" s="27">
        <v>32618080.219999999</v>
      </c>
    </row>
    <row r="106" spans="1:12" s="19" customFormat="1">
      <c r="A106" s="20" t="s">
        <v>268</v>
      </c>
      <c r="B106" s="19" t="s">
        <v>210</v>
      </c>
      <c r="C106" s="19" t="s">
        <v>210</v>
      </c>
      <c r="D106" s="53" t="s">
        <v>212</v>
      </c>
      <c r="E106" s="21" t="s">
        <v>213</v>
      </c>
      <c r="F106" s="28">
        <f>IFERROR(VLOOKUP(E106,'[9]SAP Input-BS'!$A$5:$F$502,5,0),0)</f>
        <v>81385885</v>
      </c>
      <c r="G106" s="28">
        <f>IFERROR(VLOOKUP(E106,'[10]SAP Input-BS'!$A$5:$F$500,5,0),0)</f>
        <v>1688538995</v>
      </c>
      <c r="H106" s="74">
        <f t="shared" si="1"/>
        <v>-1607153110</v>
      </c>
      <c r="I106" s="74"/>
      <c r="K106" s="31">
        <f>IFERROR(VLOOKUP(E106,'[11]SAP Input-BS'!$A$5:$E$500,5,0),0)</f>
        <v>0</v>
      </c>
      <c r="L106" s="28">
        <v>32618080.219999999</v>
      </c>
    </row>
    <row r="107" spans="1:12" s="19" customFormat="1">
      <c r="A107" s="20" t="s">
        <v>268</v>
      </c>
      <c r="B107" s="19" t="s">
        <v>274</v>
      </c>
      <c r="C107" s="19" t="s">
        <v>274</v>
      </c>
      <c r="D107" s="53" t="s">
        <v>214</v>
      </c>
      <c r="E107" s="21" t="s">
        <v>215</v>
      </c>
      <c r="F107" s="28">
        <f>IFERROR(VLOOKUP(E107,'[9]SAP Input-BS'!$A$5:$F$502,5,0),0)</f>
        <v>10962376510.360001</v>
      </c>
      <c r="G107" s="28">
        <f>IFERROR(VLOOKUP(E107,'[10]SAP Input-BS'!$A$5:$F$500,5,0),0)</f>
        <v>11176385329.25</v>
      </c>
      <c r="H107" s="74">
        <f t="shared" si="1"/>
        <v>-214008818.88999939</v>
      </c>
      <c r="I107" s="74"/>
      <c r="J107" s="59" t="s">
        <v>281</v>
      </c>
      <c r="K107" s="31">
        <f>IFERROR(VLOOKUP(E107,'[11]SAP Input-BS'!$A$5:$E$500,5,0),0)</f>
        <v>11015641413.620001</v>
      </c>
      <c r="L107" s="28">
        <v>11649995599.379999</v>
      </c>
    </row>
    <row r="108" spans="1:12" s="19" customFormat="1">
      <c r="A108" s="20" t="s">
        <v>268</v>
      </c>
      <c r="B108" s="19" t="s">
        <v>275</v>
      </c>
      <c r="C108" s="19" t="s">
        <v>275</v>
      </c>
      <c r="D108" s="53" t="s">
        <v>216</v>
      </c>
      <c r="E108" s="21" t="s">
        <v>217</v>
      </c>
      <c r="F108" s="28">
        <f>IFERROR(VLOOKUP(E108,'[9]SAP Input-BS'!$A$5:$F$502,5,0),0)</f>
        <v>7945144520.9700003</v>
      </c>
      <c r="G108" s="28">
        <f>IFERROR(VLOOKUP(E108,'[10]SAP Input-BS'!$A$5:$F$500,5,0),0)</f>
        <v>8430256089.2299995</v>
      </c>
      <c r="H108" s="74">
        <f t="shared" si="1"/>
        <v>-485111568.25999928</v>
      </c>
      <c r="I108" s="74"/>
      <c r="J108" s="59" t="s">
        <v>281</v>
      </c>
      <c r="K108" s="31">
        <f>IFERROR(VLOOKUP(E108,'[11]SAP Input-BS'!$A$5:$E$500,5,0),0)</f>
        <v>8348440771.8100004</v>
      </c>
      <c r="L108" s="28">
        <v>8308651991.4799995</v>
      </c>
    </row>
    <row r="109" spans="1:12" s="19" customFormat="1">
      <c r="A109" s="20" t="s">
        <v>268</v>
      </c>
      <c r="B109" s="19" t="s">
        <v>276</v>
      </c>
      <c r="C109" s="19" t="s">
        <v>276</v>
      </c>
      <c r="D109" s="53" t="s">
        <v>218</v>
      </c>
      <c r="E109" s="21" t="s">
        <v>219</v>
      </c>
      <c r="F109" s="28">
        <f>IFERROR(VLOOKUP(E109,'[9]SAP Input-BS'!$A$5:$F$502,5,0),0)</f>
        <v>15340804.17</v>
      </c>
      <c r="G109" s="28">
        <f>IFERROR(VLOOKUP(E109,'[10]SAP Input-BS'!$A$5:$F$500,5,0),0)</f>
        <v>15854923.92</v>
      </c>
      <c r="H109" s="74">
        <f t="shared" si="1"/>
        <v>-514119.75</v>
      </c>
      <c r="I109" s="74"/>
      <c r="J109" s="59" t="s">
        <v>281</v>
      </c>
      <c r="K109" s="31">
        <f>IFERROR(VLOOKUP(E109,'[11]SAP Input-BS'!$A$5:$E$500,5,0),0)</f>
        <v>6448288.2599999998</v>
      </c>
      <c r="L109" s="28">
        <v>1790905.77</v>
      </c>
    </row>
    <row r="110" spans="1:12" s="19" customFormat="1">
      <c r="A110" s="20" t="s">
        <v>268</v>
      </c>
      <c r="B110" s="19" t="s">
        <v>277</v>
      </c>
      <c r="C110" s="19" t="s">
        <v>277</v>
      </c>
      <c r="D110" s="53" t="s">
        <v>220</v>
      </c>
      <c r="E110" s="21" t="s">
        <v>221</v>
      </c>
      <c r="F110" s="28">
        <f>IFERROR(VLOOKUP(E110,'[9]SAP Input-BS'!$A$5:$F$502,5,0),0)</f>
        <v>0</v>
      </c>
      <c r="G110" s="28">
        <f>IFERROR(VLOOKUP(E110,'[10]SAP Input-BS'!$A$5:$F$500,5,0),0)</f>
        <v>0</v>
      </c>
      <c r="H110" s="74">
        <f t="shared" si="1"/>
        <v>0</v>
      </c>
      <c r="I110" s="74"/>
      <c r="J110" s="60" t="s">
        <v>282</v>
      </c>
      <c r="K110" s="31">
        <f>IFERROR(VLOOKUP(E110,'[11]SAP Input-BS'!$A$5:$E$500,5,0),0)</f>
        <v>0</v>
      </c>
      <c r="L110" s="28">
        <v>0</v>
      </c>
    </row>
    <row r="111" spans="1:12">
      <c r="A111" s="2" t="s">
        <v>268</v>
      </c>
      <c r="B111" s="2" t="s">
        <v>222</v>
      </c>
      <c r="D111" s="3" t="s">
        <v>223</v>
      </c>
      <c r="E111" s="9" t="s">
        <v>224</v>
      </c>
      <c r="F111" s="63">
        <f>IFERROR(VLOOKUP(E111,'[9]SAP Input-BS'!$A$5:$F$502,5,0),0)</f>
        <v>3389698667</v>
      </c>
      <c r="G111" s="63">
        <f>IFERROR(VLOOKUP(E111,'[10]SAP Input-BS'!$A$5:$F$500,5,0),0)</f>
        <v>2076899590</v>
      </c>
      <c r="H111" s="75">
        <f t="shared" si="1"/>
        <v>1312799077</v>
      </c>
      <c r="I111" s="73"/>
      <c r="K111" s="27">
        <f>IFERROR(VLOOKUP(E111,'[11]SAP Input-BS'!$A$5:$E$500,5,0),0)</f>
        <v>0</v>
      </c>
      <c r="L111" s="27">
        <v>2076899590</v>
      </c>
    </row>
    <row r="112" spans="1:12">
      <c r="A112" s="2" t="s">
        <v>268</v>
      </c>
      <c r="B112" s="2" t="s">
        <v>222</v>
      </c>
      <c r="D112" s="3" t="s">
        <v>225</v>
      </c>
      <c r="E112" s="7" t="s">
        <v>226</v>
      </c>
      <c r="F112" s="27">
        <f>IFERROR(VLOOKUP(E112,'[9]SAP Input-BS'!$A$5:$F$502,5,0),0)</f>
        <v>0</v>
      </c>
      <c r="G112" s="27">
        <f>IFERROR(VLOOKUP(E112,'[10]SAP Input-BS'!$A$5:$F$500,5,0),0)</f>
        <v>0</v>
      </c>
      <c r="H112" s="73">
        <f t="shared" si="1"/>
        <v>0</v>
      </c>
      <c r="I112" s="73"/>
      <c r="K112" s="27">
        <f>IFERROR(VLOOKUP(E112,'[11]SAP Input-BS'!$A$5:$E$500,5,0),0)</f>
        <v>0</v>
      </c>
      <c r="L112" s="27">
        <v>0</v>
      </c>
    </row>
    <row r="113" spans="1:12">
      <c r="A113" s="2" t="s">
        <v>268</v>
      </c>
      <c r="B113" s="2" t="s">
        <v>222</v>
      </c>
      <c r="D113" s="3" t="s">
        <v>227</v>
      </c>
      <c r="E113" s="7" t="s">
        <v>228</v>
      </c>
      <c r="F113" s="63">
        <f>IFERROR(VLOOKUP(E113,'[9]SAP Input-BS'!$A$5:$F$502,5,0),0)</f>
        <v>30424796.510000002</v>
      </c>
      <c r="G113" s="63">
        <f>IFERROR(VLOOKUP(E113,'[10]SAP Input-BS'!$A$5:$F$500,5,0),0)</f>
        <v>0.32</v>
      </c>
      <c r="H113" s="75">
        <f t="shared" si="1"/>
        <v>30424796.190000001</v>
      </c>
      <c r="I113" s="73"/>
      <c r="K113" s="27">
        <f>IFERROR(VLOOKUP(E113,'[11]SAP Input-BS'!$A$5:$E$500,5,0),0)</f>
        <v>0.31</v>
      </c>
      <c r="L113" s="27">
        <v>155689061.68000001</v>
      </c>
    </row>
    <row r="114" spans="1:12">
      <c r="A114" s="2" t="s">
        <v>268</v>
      </c>
      <c r="B114" s="2" t="s">
        <v>222</v>
      </c>
      <c r="D114" s="3" t="s">
        <v>229</v>
      </c>
      <c r="E114" s="7" t="s">
        <v>230</v>
      </c>
      <c r="F114" s="63">
        <f>IFERROR(VLOOKUP(E114,'[9]SAP Input-BS'!$A$5:$F$502,5,0),0)</f>
        <v>3721872855</v>
      </c>
      <c r="G114" s="63">
        <f>IFERROR(VLOOKUP(E114,'[10]SAP Input-BS'!$A$5:$F$500,5,0),0)</f>
        <v>4092729582</v>
      </c>
      <c r="H114" s="75">
        <f t="shared" si="1"/>
        <v>-370856727</v>
      </c>
      <c r="I114" s="73"/>
      <c r="K114" s="27">
        <f>IFERROR(VLOOKUP(E114,'[11]SAP Input-BS'!$A$5:$E$500,5,0),0)</f>
        <v>4745523309</v>
      </c>
      <c r="L114" s="27">
        <v>3932593932.4200001</v>
      </c>
    </row>
    <row r="115" spans="1:12">
      <c r="A115" s="2" t="s">
        <v>268</v>
      </c>
      <c r="B115" s="2" t="s">
        <v>222</v>
      </c>
      <c r="D115" s="3" t="s">
        <v>231</v>
      </c>
      <c r="E115" s="7" t="s">
        <v>232</v>
      </c>
      <c r="F115" s="27">
        <f>IFERROR(VLOOKUP(E115,'[9]SAP Input-BS'!$A$5:$F$502,5,0),0)</f>
        <v>0</v>
      </c>
      <c r="G115" s="27">
        <f>IFERROR(VLOOKUP(E115,'[10]SAP Input-BS'!$A$5:$F$500,5,0),0)</f>
        <v>0</v>
      </c>
      <c r="H115" s="73">
        <f t="shared" si="1"/>
        <v>0</v>
      </c>
      <c r="I115" s="73"/>
      <c r="K115" s="27">
        <f>IFERROR(VLOOKUP(E115,'[11]SAP Input-BS'!$A$5:$E$500,5,0),0)</f>
        <v>0</v>
      </c>
      <c r="L115" s="27">
        <v>0</v>
      </c>
    </row>
    <row r="116" spans="1:12">
      <c r="A116" s="2" t="s">
        <v>268</v>
      </c>
      <c r="B116" s="2" t="s">
        <v>222</v>
      </c>
      <c r="D116" s="3" t="s">
        <v>233</v>
      </c>
      <c r="E116" s="25" t="s">
        <v>234</v>
      </c>
      <c r="F116" s="27">
        <f>IFERROR(VLOOKUP(E116,'[9]SAP Input-BS'!$A$5:$F$502,5,0),0)</f>
        <v>0</v>
      </c>
      <c r="G116" s="27">
        <f>IFERROR(VLOOKUP(E116,'[10]SAP Input-BS'!$A$5:$F$500,5,0),0)</f>
        <v>0</v>
      </c>
      <c r="H116" s="73">
        <f t="shared" si="1"/>
        <v>0</v>
      </c>
      <c r="I116" s="73"/>
      <c r="K116" s="27">
        <f>IFERROR(VLOOKUP(E116,'[11]SAP Input-BS'!$A$5:$E$500,5,0),0)</f>
        <v>0</v>
      </c>
      <c r="L116" s="27">
        <v>0</v>
      </c>
    </row>
    <row r="117" spans="1:12">
      <c r="A117" s="2" t="s">
        <v>268</v>
      </c>
      <c r="B117" s="2" t="s">
        <v>222</v>
      </c>
      <c r="D117" s="3" t="s">
        <v>235</v>
      </c>
      <c r="E117" s="7" t="s">
        <v>236</v>
      </c>
      <c r="F117" s="27">
        <f>IFERROR(VLOOKUP(E117,'[9]SAP Input-BS'!$A$5:$F$502,5,0),0)</f>
        <v>0</v>
      </c>
      <c r="G117" s="27">
        <f>IFERROR(VLOOKUP(E117,'[10]SAP Input-BS'!$A$5:$F$500,5,0),0)</f>
        <v>0</v>
      </c>
      <c r="H117" s="73">
        <f t="shared" si="1"/>
        <v>0</v>
      </c>
      <c r="I117" s="73"/>
      <c r="K117" s="27">
        <f>IFERROR(VLOOKUP(E117,'[11]SAP Input-BS'!$A$5:$E$500,5,0),0)</f>
        <v>0</v>
      </c>
      <c r="L117" s="27">
        <v>0</v>
      </c>
    </row>
    <row r="118" spans="1:12">
      <c r="A118" s="2" t="s">
        <v>268</v>
      </c>
      <c r="B118" s="2" t="s">
        <v>222</v>
      </c>
      <c r="D118" s="12" t="s">
        <v>237</v>
      </c>
      <c r="E118" s="7" t="s">
        <v>238</v>
      </c>
      <c r="F118" s="27">
        <f>IFERROR(VLOOKUP(E118,'[9]SAP Input-BS'!$A$5:$F$502,5,0),0)</f>
        <v>0</v>
      </c>
      <c r="G118" s="27">
        <f>IFERROR(VLOOKUP(E118,'[10]SAP Input-BS'!$A$5:$F$500,5,0),0)</f>
        <v>0</v>
      </c>
      <c r="H118" s="73">
        <f t="shared" si="1"/>
        <v>0</v>
      </c>
      <c r="I118" s="73"/>
      <c r="K118" s="27">
        <f>IFERROR(VLOOKUP(E118,'[11]SAP Input-BS'!$A$5:$E$500,5,0),0)</f>
        <v>0</v>
      </c>
      <c r="L118" s="27">
        <v>0</v>
      </c>
    </row>
    <row r="119" spans="1:12">
      <c r="A119" s="2" t="s">
        <v>268</v>
      </c>
      <c r="B119" s="2" t="s">
        <v>222</v>
      </c>
      <c r="D119" s="3" t="s">
        <v>239</v>
      </c>
      <c r="E119" s="7" t="s">
        <v>240</v>
      </c>
      <c r="F119" s="27">
        <f>IFERROR(VLOOKUP(E119,'[9]SAP Input-BS'!$A$5:$F$502,5,0),0)</f>
        <v>0</v>
      </c>
      <c r="G119" s="27">
        <f>IFERROR(VLOOKUP(E119,'[10]SAP Input-BS'!$A$5:$F$500,5,0),0)</f>
        <v>0</v>
      </c>
      <c r="H119" s="73">
        <f t="shared" si="1"/>
        <v>0</v>
      </c>
      <c r="I119" s="73"/>
      <c r="K119" s="27">
        <f>IFERROR(VLOOKUP(E119,'[11]SAP Input-BS'!$A$5:$E$500,5,0),0)</f>
        <v>0</v>
      </c>
      <c r="L119" s="27">
        <v>0</v>
      </c>
    </row>
    <row r="120" spans="1:12">
      <c r="A120" s="2" t="s">
        <v>268</v>
      </c>
      <c r="B120" s="2" t="s">
        <v>222</v>
      </c>
      <c r="D120" s="3" t="s">
        <v>241</v>
      </c>
      <c r="E120" s="7" t="s">
        <v>242</v>
      </c>
      <c r="F120" s="27">
        <f>IFERROR(VLOOKUP(E120,'[9]SAP Input-BS'!$A$5:$F$502,5,0),0)</f>
        <v>0</v>
      </c>
      <c r="G120" s="27">
        <f>IFERROR(VLOOKUP(E120,'[10]SAP Input-BS'!$A$5:$F$500,5,0),0)</f>
        <v>0</v>
      </c>
      <c r="H120" s="73">
        <f t="shared" si="1"/>
        <v>0</v>
      </c>
      <c r="I120" s="73"/>
      <c r="K120" s="27">
        <f>IFERROR(VLOOKUP(E120,'[11]SAP Input-BS'!$A$5:$E$500,5,0),0)</f>
        <v>0</v>
      </c>
      <c r="L120" s="27">
        <v>0</v>
      </c>
    </row>
    <row r="121" spans="1:12">
      <c r="A121" s="2" t="s">
        <v>268</v>
      </c>
      <c r="B121" s="2" t="s">
        <v>222</v>
      </c>
      <c r="D121" s="3" t="s">
        <v>243</v>
      </c>
      <c r="E121" s="7" t="s">
        <v>244</v>
      </c>
      <c r="F121" s="27">
        <f>IFERROR(VLOOKUP(E121,'[9]SAP Input-BS'!$A$5:$F$502,5,0),0)</f>
        <v>0</v>
      </c>
      <c r="G121" s="27">
        <f>IFERROR(VLOOKUP(E121,'[10]SAP Input-BS'!$A$5:$F$500,5,0),0)</f>
        <v>0</v>
      </c>
      <c r="H121" s="73">
        <f t="shared" si="1"/>
        <v>0</v>
      </c>
      <c r="I121" s="73"/>
      <c r="K121" s="27">
        <f>IFERROR(VLOOKUP(E121,'[11]SAP Input-BS'!$A$5:$E$500,5,0),0)</f>
        <v>0</v>
      </c>
      <c r="L121" s="27">
        <v>0</v>
      </c>
    </row>
    <row r="122" spans="1:12">
      <c r="A122" s="2" t="s">
        <v>268</v>
      </c>
      <c r="B122" s="2" t="s">
        <v>222</v>
      </c>
      <c r="D122" s="3" t="s">
        <v>245</v>
      </c>
      <c r="E122" s="7" t="s">
        <v>246</v>
      </c>
      <c r="F122" s="27">
        <f>IFERROR(VLOOKUP(E122,'[9]SAP Input-BS'!$A$5:$F$502,5,0),0)</f>
        <v>0</v>
      </c>
      <c r="G122" s="27">
        <f>IFERROR(VLOOKUP(E122,'[10]SAP Input-BS'!$A$5:$F$500,5,0),0)</f>
        <v>0</v>
      </c>
      <c r="H122" s="73">
        <f t="shared" si="1"/>
        <v>0</v>
      </c>
      <c r="I122" s="73"/>
      <c r="K122" s="27">
        <f>IFERROR(VLOOKUP(E122,'[11]SAP Input-BS'!$A$5:$E$500,5,0),0)</f>
        <v>0</v>
      </c>
      <c r="L122" s="27">
        <v>0</v>
      </c>
    </row>
    <row r="123" spans="1:12">
      <c r="A123" s="2" t="s">
        <v>268</v>
      </c>
      <c r="B123" s="2" t="s">
        <v>222</v>
      </c>
      <c r="D123" s="3" t="s">
        <v>247</v>
      </c>
      <c r="E123" s="7" t="s">
        <v>248</v>
      </c>
      <c r="F123" s="27">
        <f>IFERROR(VLOOKUP(E123,'[9]SAP Input-BS'!$A$5:$F$502,5,0),0)</f>
        <v>0</v>
      </c>
      <c r="G123" s="27">
        <f>IFERROR(VLOOKUP(E123,'[10]SAP Input-BS'!$A$5:$F$500,5,0),0)</f>
        <v>0</v>
      </c>
      <c r="H123" s="73">
        <f t="shared" si="1"/>
        <v>0</v>
      </c>
      <c r="I123" s="73"/>
      <c r="K123" s="27">
        <f>IFERROR(VLOOKUP(E123,'[11]SAP Input-BS'!$A$5:$E$500,5,0),0)</f>
        <v>0</v>
      </c>
      <c r="L123" s="27">
        <v>0</v>
      </c>
    </row>
    <row r="124" spans="1:12" s="19" customFormat="1">
      <c r="A124" s="20" t="s">
        <v>268</v>
      </c>
      <c r="B124" s="20" t="s">
        <v>222</v>
      </c>
      <c r="C124" s="19" t="s">
        <v>279</v>
      </c>
      <c r="D124" s="53" t="s">
        <v>249</v>
      </c>
      <c r="E124" s="21" t="s">
        <v>250</v>
      </c>
      <c r="F124" s="28">
        <f>IFERROR(VLOOKUP(E124,'[9]SAP Input-BS'!$A$5:$F$502,5,0),0)</f>
        <v>7141996318.5100002</v>
      </c>
      <c r="G124" s="28">
        <f>IFERROR(VLOOKUP(E124,'[10]SAP Input-BS'!$A$5:$F$500,5,0),0)</f>
        <v>6169629172.3199997</v>
      </c>
      <c r="H124" s="74">
        <f t="shared" si="1"/>
        <v>972367146.19000053</v>
      </c>
      <c r="I124" s="74"/>
      <c r="K124" s="31">
        <f>IFERROR(VLOOKUP(E124,'[11]SAP Input-BS'!$A$5:$E$500,5,0),0)</f>
        <v>4745523309.3100004</v>
      </c>
      <c r="L124" s="28">
        <v>6165182584.1000004</v>
      </c>
    </row>
    <row r="125" spans="1:12">
      <c r="A125" s="2" t="s">
        <v>268</v>
      </c>
      <c r="B125" s="1" t="s">
        <v>251</v>
      </c>
      <c r="D125" s="3" t="s">
        <v>251</v>
      </c>
      <c r="E125" s="9" t="s">
        <v>252</v>
      </c>
      <c r="F125" s="27">
        <f>IFERROR(VLOOKUP(E125,'[9]SAP Input-BS'!$A$5:$F$502,5,0),0)</f>
        <v>3229081375.54</v>
      </c>
      <c r="G125" s="27">
        <f>IFERROR(VLOOKUP(E125,'[10]SAP Input-BS'!$A$5:$F$500,5,0),0)</f>
        <v>2915481341.9499998</v>
      </c>
      <c r="H125" s="73">
        <f t="shared" si="1"/>
        <v>313600033.59000015</v>
      </c>
      <c r="I125" s="73"/>
      <c r="K125" s="27">
        <f>IFERROR(VLOOKUP(E125,'[11]SAP Input-BS'!$A$5:$E$500,5,0),0)</f>
        <v>1456499794.9000001</v>
      </c>
      <c r="L125" s="27">
        <v>2529714494.77</v>
      </c>
    </row>
    <row r="126" spans="1:12" s="19" customFormat="1">
      <c r="A126" s="20" t="s">
        <v>268</v>
      </c>
      <c r="B126" s="19" t="s">
        <v>251</v>
      </c>
      <c r="C126" s="19" t="s">
        <v>251</v>
      </c>
      <c r="D126" s="53" t="s">
        <v>253</v>
      </c>
      <c r="E126" s="21" t="s">
        <v>254</v>
      </c>
      <c r="F126" s="28">
        <f>IFERROR(VLOOKUP(E126,'[9]SAP Input-BS'!$A$5:$F$502,5,0),0)</f>
        <v>3229081375.54</v>
      </c>
      <c r="G126" s="28">
        <f>IFERROR(VLOOKUP(E126,'[10]SAP Input-BS'!$A$5:$F$500,5,0),0)</f>
        <v>2915481341.9499998</v>
      </c>
      <c r="H126" s="74">
        <f t="shared" si="1"/>
        <v>313600033.59000015</v>
      </c>
      <c r="I126" s="74"/>
      <c r="K126" s="31">
        <f>IFERROR(VLOOKUP(E126,'[11]SAP Input-BS'!$A$5:$E$500,5,0),0)</f>
        <v>1456499794.9000001</v>
      </c>
      <c r="L126" s="28">
        <v>2529714494.77</v>
      </c>
    </row>
    <row r="127" spans="1:12" s="13" customFormat="1">
      <c r="A127" s="34" t="s">
        <v>268</v>
      </c>
      <c r="B127" s="14" t="s">
        <v>255</v>
      </c>
      <c r="C127" s="14" t="s">
        <v>255</v>
      </c>
      <c r="D127" s="14" t="s">
        <v>255</v>
      </c>
      <c r="E127" s="26" t="s">
        <v>256</v>
      </c>
      <c r="F127" s="32">
        <f>IFERROR(VLOOKUP(E127,'[9]SAP Input-BS'!$A$5:$F$502,5,0),0)</f>
        <v>47740429809.389999</v>
      </c>
      <c r="G127" s="32">
        <f>IFERROR(VLOOKUP(E127,'[10]SAP Input-BS'!$A$5:$F$500,5,0),0)</f>
        <v>52389719349.510002</v>
      </c>
      <c r="H127" s="76">
        <f t="shared" si="1"/>
        <v>-4649289540.1200027</v>
      </c>
      <c r="I127" s="76"/>
      <c r="K127" s="29">
        <f>IFERROR(VLOOKUP(E127,'[11]SAP Input-BS'!$A$5:$E$500,5,0),0)</f>
        <v>42171177638.169998</v>
      </c>
      <c r="L127" s="32">
        <v>49436922098.480003</v>
      </c>
    </row>
    <row r="128" spans="1:12" s="16" customFormat="1">
      <c r="A128" s="45" t="s">
        <v>257</v>
      </c>
      <c r="B128" s="17" t="s">
        <v>257</v>
      </c>
      <c r="C128" s="17" t="s">
        <v>257</v>
      </c>
      <c r="D128" s="17" t="s">
        <v>257</v>
      </c>
      <c r="E128" s="35" t="s">
        <v>258</v>
      </c>
      <c r="F128" s="46">
        <f>IFERROR(VLOOKUP(E128,'[9]SAP Input-BS'!$A$5:$F$502,5,0),0)</f>
        <v>94164485452.949997</v>
      </c>
      <c r="G128" s="46">
        <f>IFERROR(VLOOKUP(E128,'[10]SAP Input-BS'!$A$5:$F$500,5,0),0)</f>
        <v>98945690389.539993</v>
      </c>
      <c r="H128" s="78">
        <f t="shared" si="1"/>
        <v>-4781204936.5899963</v>
      </c>
      <c r="I128" s="78"/>
      <c r="K128" s="36">
        <f>IFERROR(VLOOKUP(E128,'[11]SAP Input-BS'!$A$5:$E$500,5,0),0)</f>
        <v>94016189462.179993</v>
      </c>
      <c r="L128" s="46">
        <v>103302194458.03</v>
      </c>
    </row>
  </sheetData>
  <autoFilter ref="A1:K128" xr:uid="{03796B3B-621C-46AC-9F14-1EF0A65AAAB6}"/>
  <hyperlinks>
    <hyperlink ref="J84" location="A.FA!I146" display="page A.FA" xr:uid="{13A52BAC-9D5A-4923-AE65-E5D22BC5ED09}"/>
    <hyperlink ref="J107" location="A.FA!J81" display="page A.FA" xr:uid="{AC88A13C-1AE1-4B82-B58B-20F4A5161AC8}"/>
    <hyperlink ref="J108" location="A.FA!J81" display="page A.FA" xr:uid="{A04D720D-AD17-4150-8139-AA2EBCBDB0F8}"/>
    <hyperlink ref="J109" location="A.FA!J81" display="page A.FA" xr:uid="{8E5FA5A8-98BA-469B-BC3D-EA2D2182D791}"/>
    <hyperlink ref="J110" location="A.Imt!I137" display="page A.Imt" xr:uid="{3E3EE3AC-9123-4517-90D7-B5C2258F8CD4}"/>
    <hyperlink ref="J7" location="A.1_K!C26" display="page A.1_K" xr:uid="{47865ECA-FF36-42FF-B829-2769D6084789}"/>
    <hyperlink ref="J9" location="A.1_N!D26" display="page A.1_N" xr:uid="{FC3F6018-4C25-4EFE-A4D5-364DC770CCD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B393B-E426-4129-BC9D-8FCBFD5F3825}">
  <dimension ref="A2:K44"/>
  <sheetViews>
    <sheetView workbookViewId="0">
      <selection activeCell="E856" sqref="E856"/>
    </sheetView>
  </sheetViews>
  <sheetFormatPr baseColWidth="10" defaultColWidth="8.83203125" defaultRowHeight="15"/>
  <cols>
    <col min="2" max="2" width="43.83203125" bestFit="1" customWidth="1"/>
    <col min="3" max="3" width="5.83203125" bestFit="1" customWidth="1"/>
    <col min="7" max="7" width="16.1640625" style="22" bestFit="1" customWidth="1"/>
  </cols>
  <sheetData>
    <row r="2" spans="1:11">
      <c r="A2" s="1" t="s">
        <v>263</v>
      </c>
      <c r="B2" t="s">
        <v>613</v>
      </c>
      <c r="G2" s="22">
        <f>'BS-Assets'!G4</f>
        <v>1560768050</v>
      </c>
      <c r="H2" s="64">
        <f>G2/87/10^6</f>
        <v>17.939862643678161</v>
      </c>
      <c r="J2" t="e">
        <f>#REF!</f>
        <v>#REF!</v>
      </c>
      <c r="K2" s="64" t="e">
        <f>H2-J2</f>
        <v>#REF!</v>
      </c>
    </row>
    <row r="3" spans="1:11">
      <c r="B3" s="66" t="s">
        <v>630</v>
      </c>
      <c r="G3" s="22">
        <f>-10*10^7</f>
        <v>-100000000</v>
      </c>
      <c r="H3" s="64">
        <f>G3/87/10^6</f>
        <v>-1.149425287356322</v>
      </c>
      <c r="K3" s="64">
        <f>H3</f>
        <v>-1.149425287356322</v>
      </c>
    </row>
    <row r="4" spans="1:11">
      <c r="B4" s="66" t="s">
        <v>631</v>
      </c>
      <c r="G4" s="22">
        <f>-33*10^7</f>
        <v>-330000000</v>
      </c>
      <c r="H4" s="64">
        <f>G4/87/10^6</f>
        <v>-3.7931034482758621</v>
      </c>
      <c r="K4" s="64">
        <f>H4</f>
        <v>-3.7931034482758621</v>
      </c>
    </row>
    <row r="5" spans="1:11">
      <c r="B5" s="66" t="s">
        <v>632</v>
      </c>
      <c r="G5" s="22">
        <f>-3220*10^6</f>
        <v>-3220000000</v>
      </c>
      <c r="H5" s="64">
        <f>G5/87/10^6</f>
        <v>-37.011494252873561</v>
      </c>
      <c r="K5" s="64">
        <f>H5</f>
        <v>-37.011494252873561</v>
      </c>
    </row>
    <row r="6" spans="1:11">
      <c r="B6" s="66" t="s">
        <v>618</v>
      </c>
      <c r="K6" s="65">
        <v>-93</v>
      </c>
    </row>
    <row r="7" spans="1:11">
      <c r="B7" s="66" t="s">
        <v>633</v>
      </c>
      <c r="K7" s="70">
        <f>[13]Cashflow_2026_Collection_wise!$D$16/87</f>
        <v>100.49445977011494</v>
      </c>
    </row>
    <row r="8" spans="1:11">
      <c r="B8" s="66" t="s">
        <v>634</v>
      </c>
      <c r="K8" s="70">
        <v>-40.229885057471265</v>
      </c>
    </row>
    <row r="9" spans="1:11">
      <c r="B9" s="66"/>
      <c r="K9" s="64" t="e">
        <f>SUM(K2:K8)</f>
        <v>#REF!</v>
      </c>
    </row>
    <row r="10" spans="1:11">
      <c r="B10" t="s">
        <v>617</v>
      </c>
      <c r="G10" s="22">
        <f>SUM(G2:G6)</f>
        <v>-2089231950</v>
      </c>
    </row>
    <row r="11" spans="1:11">
      <c r="B11" s="66" t="s">
        <v>619</v>
      </c>
      <c r="G11" s="22">
        <f>'BS-Assets'!F4</f>
        <v>12020967174.35</v>
      </c>
    </row>
    <row r="12" spans="1:11">
      <c r="B12" s="66" t="s">
        <v>620</v>
      </c>
      <c r="G12" s="22">
        <f>G10-G11</f>
        <v>-14110199124.35</v>
      </c>
    </row>
    <row r="14" spans="1:11">
      <c r="B14" t="s">
        <v>621</v>
      </c>
    </row>
    <row r="15" spans="1:11">
      <c r="B15" s="66" t="s">
        <v>622</v>
      </c>
    </row>
    <row r="17" spans="1:5">
      <c r="B17" s="3" t="s">
        <v>64</v>
      </c>
    </row>
    <row r="18" spans="1:5">
      <c r="B18" s="3" t="s">
        <v>72</v>
      </c>
    </row>
    <row r="20" spans="1:5">
      <c r="B20" s="3" t="s">
        <v>96</v>
      </c>
    </row>
    <row r="21" spans="1:5">
      <c r="B21" s="67" t="s">
        <v>623</v>
      </c>
    </row>
    <row r="23" spans="1:5">
      <c r="B23" t="s">
        <v>168</v>
      </c>
    </row>
    <row r="24" spans="1:5">
      <c r="B24" t="s">
        <v>624</v>
      </c>
    </row>
    <row r="26" spans="1:5">
      <c r="B26" s="1" t="s">
        <v>273</v>
      </c>
      <c r="D26" s="3" t="s">
        <v>200</v>
      </c>
      <c r="E26" s="50"/>
    </row>
    <row r="28" spans="1:5">
      <c r="B28" t="s">
        <v>625</v>
      </c>
    </row>
    <row r="30" spans="1:5">
      <c r="B30" s="3" t="s">
        <v>229</v>
      </c>
    </row>
    <row r="32" spans="1:5">
      <c r="A32" s="1" t="s">
        <v>285</v>
      </c>
      <c r="B32" t="s">
        <v>629</v>
      </c>
    </row>
    <row r="34" spans="2:3">
      <c r="B34" s="3" t="s">
        <v>337</v>
      </c>
      <c r="C34" s="6" t="s">
        <v>356</v>
      </c>
    </row>
    <row r="36" spans="2:3">
      <c r="B36" s="3" t="s">
        <v>350</v>
      </c>
    </row>
    <row r="38" spans="2:3">
      <c r="B38" s="3" t="s">
        <v>371</v>
      </c>
      <c r="C38" s="6" t="s">
        <v>380</v>
      </c>
    </row>
    <row r="40" spans="2:3">
      <c r="B40" s="3" t="s">
        <v>446</v>
      </c>
      <c r="C40" s="6" t="s">
        <v>461</v>
      </c>
    </row>
    <row r="41" spans="2:3">
      <c r="B41" s="3" t="s">
        <v>547</v>
      </c>
    </row>
    <row r="43" spans="2:3">
      <c r="B43" s="3" t="s">
        <v>576</v>
      </c>
    </row>
    <row r="44" spans="2:3">
      <c r="B44" s="3" t="s">
        <v>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BS-Liabilities</vt:lpstr>
      <vt:lpstr>BS-Assets</vt:lpstr>
      <vt:lpstr>Sheet2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Ramachandran Rohan (BGSW/CTG6)</dc:creator>
  <cp:lastModifiedBy>Matasma Decision Systems</cp:lastModifiedBy>
  <dcterms:created xsi:type="dcterms:W3CDTF">2026-03-16T11:43:18Z</dcterms:created>
  <dcterms:modified xsi:type="dcterms:W3CDTF">2026-08-15T08:23:30Z</dcterms:modified>
</cp:coreProperties>
</file>